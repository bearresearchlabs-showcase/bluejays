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 Economics" sheetId="1" state="visible" r:id="rId3"/>
    <sheet name="Format Specification" sheetId="2" state="visible" r:id="rId4"/>
    <sheet name="Rework Estim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<sst xmlns="http://schemas.openxmlformats.org/spreadsheetml/2006/main" count="230" uniqueCount="187">
  <si>
    <t xml:space="preserve">Text-to-SQL Training Data Program Economics</t>
  </si>
  <si>
    <t xml:space="preserve">PROGRAM SCOPE</t>
  </si>
  <si>
    <t xml:space="preserve">Parameter</t>
  </si>
  <si>
    <t xml:space="preserve">Value</t>
  </si>
  <si>
    <t xml:space="preserve">Unit</t>
  </si>
  <si>
    <t xml:space="preserve">Notes</t>
  </si>
  <si>
    <t xml:space="preserve">Total Databases</t>
  </si>
  <si>
    <t xml:space="preserve">databases</t>
  </si>
  <si>
    <t xml:space="preserve">Client target scope</t>
  </si>
  <si>
    <t xml:space="preserve">Queries per Database</t>
  </si>
  <si>
    <t xml:space="preserve">queries/db</t>
  </si>
  <si>
    <t xml:space="preserve">Current standard</t>
  </si>
  <si>
    <t xml:space="preserve">Total Query Pairs</t>
  </si>
  <si>
    <t xml:space="preserve">NL-SQL pairs</t>
  </si>
  <si>
    <t xml:space="preserve">Current Databases Delivered</t>
  </si>
  <si>
    <t xml:space="preserve">db-1 through db-16</t>
  </si>
  <si>
    <t xml:space="preserve">Current Queries Delivered</t>
  </si>
  <si>
    <t xml:space="preserve">queries</t>
  </si>
  <si>
    <t xml:space="preserve">Actual count</t>
  </si>
  <si>
    <t xml:space="preserve">Databases Requiring Rework</t>
  </si>
  <si>
    <t xml:space="preserve">db-6,7,9,10,11,16 missing fields</t>
  </si>
  <si>
    <t xml:space="preserve">Remaining Databases</t>
  </si>
  <si>
    <t xml:space="preserve">PER-QUERY EFFORT BREAKDOWN (Hours)</t>
  </si>
  <si>
    <t xml:space="preserve">Task Component</t>
  </si>
  <si>
    <t xml:space="preserve">Min Hours</t>
  </si>
  <si>
    <t xml:space="preserve">Likely Hours</t>
  </si>
  <si>
    <t xml:space="preserve">Max Hours</t>
  </si>
  <si>
    <t xml:space="preserve">Schema comprehension &amp; domain research</t>
  </si>
  <si>
    <t xml:space="preserve">Understand tables, relationships, business context</t>
  </si>
  <si>
    <t xml:space="preserve">SQL query design &amp; validation</t>
  </si>
  <si>
    <t xml:space="preserve">Write, test, debug complex queries</t>
  </si>
  <si>
    <t xml:space="preserve">Business intent narrative (purpose)</t>
  </si>
  <si>
    <t xml:space="preserve">Why a stakeholder needs this analysis</t>
  </si>
  <si>
    <t xml:space="preserve">Use case documentation</t>
  </si>
  <si>
    <t xml:space="preserve">Who uses it, what decision it drives</t>
  </si>
  <si>
    <t xml:space="preserve">Business value articulation</t>
  </si>
  <si>
    <t xml:space="preserve">Revenue/cost/risk impact quantified</t>
  </si>
  <si>
    <t xml:space="preserve">Expected output specification</t>
  </si>
  <si>
    <t xml:space="preserve">Column descriptions, sample results</t>
  </si>
  <si>
    <t xml:space="preserve">Cross-query consistency review</t>
  </si>
  <si>
    <t xml:space="preserve">Ensure no overlap, progressive complexity</t>
  </si>
  <si>
    <t xml:space="preserve">Quality assurance &amp; formatting</t>
  </si>
  <si>
    <t xml:space="preserve">JSON validation, style guide compliance</t>
  </si>
  <si>
    <t xml:space="preserve">TOTAL PER QUERY</t>
  </si>
  <si>
    <t xml:space="preserve">TOTAL PER DATABASE (30 queries)</t>
  </si>
  <si>
    <t xml:space="preserve">RATE ANALYSIS: STAFFING AGENCY vs CONSULTING</t>
  </si>
  <si>
    <t xml:space="preserve">Metric</t>
  </si>
  <si>
    <t xml:space="preserve">Staffing Agency</t>
  </si>
  <si>
    <t xml:space="preserve">Consulting</t>
  </si>
  <si>
    <t xml:space="preserve">Delta</t>
  </si>
  <si>
    <t xml:space="preserve">Hourly Rate</t>
  </si>
  <si>
    <t xml:space="preserve">Market rates for 10yr tech professional</t>
  </si>
  <si>
    <t xml:space="preserve">Effective Daily Rate (8 hrs)</t>
  </si>
  <si>
    <t xml:space="preserve">Per-Query Cost (likely hrs)</t>
  </si>
  <si>
    <t xml:space="preserve">Using "likely" hours estimate</t>
  </si>
  <si>
    <t xml:space="preserve">Per-Database Cost (30 queries)</t>
  </si>
  <si>
    <t xml:space="preserve">Full Program Cost (100 databases)</t>
  </si>
  <si>
    <t xml:space="preserve">Current Contract Value per DB</t>
  </si>
  <si>
    <t xml:space="preserve">Client offer: $2K per database</t>
  </si>
  <si>
    <t xml:space="preserve">Margin per Database (Staffing)</t>
  </si>
  <si>
    <t xml:space="preserve">Margin per Database (Consulting)</t>
  </si>
  <si>
    <t xml:space="preserve">Implied Hourly Rate at $2K/db</t>
  </si>
  <si>
    <t xml:space="preserve">What client is actually paying per hour</t>
  </si>
  <si>
    <t xml:space="preserve">FULL PROGRAM COMPARISON</t>
  </si>
  <si>
    <t xml:space="preserve">Total Program Revenue (100 × $2K)</t>
  </si>
  <si>
    <t xml:space="preserve">Total Program Cost</t>
  </si>
  <si>
    <t xml:space="preserve">Program Profit / (Loss)</t>
  </si>
  <si>
    <t xml:space="preserve">Program Margin %</t>
  </si>
  <si>
    <t xml:space="preserve">INDUSTRY BENCHMARKS: Text-to-SQL Annotation Pricing</t>
  </si>
  <si>
    <t xml:space="preserve">Benchmark / Source</t>
  </si>
  <si>
    <t xml:space="preserve">Price per NL-SQL Pair</t>
  </si>
  <si>
    <t xml:space="preserve">Quality Tier</t>
  </si>
  <si>
    <t xml:space="preserve">Complexity</t>
  </si>
  <si>
    <t xml:space="preserve">Crowdsource (MTurk basic)</t>
  </si>
  <si>
    <t xml:space="preserve">Low</t>
  </si>
  <si>
    <t xml:space="preserve">Simple SELECT</t>
  </si>
  <si>
    <t xml:space="preserve">No domain expertise</t>
  </si>
  <si>
    <t xml:space="preserve">Crowdsource (MTurk expert)</t>
  </si>
  <si>
    <t xml:space="preserve">Medium</t>
  </si>
  <si>
    <t xml:space="preserve">Joins, subqueries</t>
  </si>
  <si>
    <t xml:space="preserve">SQL-trained annotators</t>
  </si>
  <si>
    <t xml:space="preserve">Domain Expert Annotation</t>
  </si>
  <si>
    <t xml:space="preserve">High</t>
  </si>
  <si>
    <t xml:space="preserve">Multi-table, CTEs</t>
  </si>
  <si>
    <t xml:space="preserve">Industry + SQL knowledge</t>
  </si>
  <si>
    <t xml:space="preserve">Enterprise SME + Schema</t>
  </si>
  <si>
    <t xml:space="preserve">Premium</t>
  </si>
  <si>
    <t xml:space="preserve">Full enterprise</t>
  </si>
  <si>
    <t xml:space="preserve">Business context + intent</t>
  </si>
  <si>
    <t xml:space="preserve">AQ Current Contract</t>
  </si>
  <si>
    <t xml:space="preserve">$2k / 30 queries</t>
  </si>
  <si>
    <t xml:space="preserve">Break-Even at Staffing Rate</t>
  </si>
  <si>
    <t xml:space="preserve">staffing cost / 30</t>
  </si>
  <si>
    <t xml:space="preserve">Break-Even at Consulting Rate</t>
  </si>
  <si>
    <t xml:space="preserve">consulting cost / 30</t>
  </si>
  <si>
    <t xml:space="preserve">Recommended Deliverable JSON Schema — Text-to-SQL Training Format</t>
  </si>
  <si>
    <t xml:space="preserve">QUERY-LEVEL FIELDS (per entry in "queries" array)</t>
  </si>
  <si>
    <t xml:space="preserve">Field Name</t>
  </si>
  <si>
    <t xml:space="preserve">Type</t>
  </si>
  <si>
    <t xml:space="preserve">Required</t>
  </si>
  <si>
    <t xml:space="preserve">Description</t>
  </si>
  <si>
    <t xml:space="preserve">Maps to Benchmark</t>
  </si>
  <si>
    <t xml:space="preserve">number</t>
  </si>
  <si>
    <t xml:space="preserve">integer</t>
  </si>
  <si>
    <t xml:space="preserve">Yes</t>
  </si>
  <si>
    <t xml:space="preserve">Sequential query number within database (1-30)</t>
  </si>
  <si>
    <t xml:space="preserve">BIRD: —</t>
  </si>
  <si>
    <t xml:space="preserve">title</t>
  </si>
  <si>
    <t xml:space="preserve">string</t>
  </si>
  <si>
    <t xml:space="preserve">Short descriptive title (5-10 words)</t>
  </si>
  <si>
    <t xml:space="preserve">Spider: question (partial)</t>
  </si>
  <si>
    <t xml:space="preserve">description</t>
  </si>
  <si>
    <t xml:space="preserve">string (300-500 chars)</t>
  </si>
  <si>
    <t xml:space="preserve">Natural language question a business user would ask. Must read as a genuine stakeholder question, NOT a technical summary.</t>
  </si>
  <si>
    <t xml:space="preserve">BIRD: question / Spider: question</t>
  </si>
  <si>
    <t xml:space="preserve">purpose</t>
  </si>
  <si>
    <t xml:space="preserve">string (200-400 chars)</t>
  </si>
  <si>
    <t xml:space="preserve">WHY this analysis matters — the business decision or action it enables. Written from stakeholder perspective.</t>
  </si>
  <si>
    <t xml:space="preserve">BIRD: evidence (extended)</t>
  </si>
  <si>
    <t xml:space="preserve">use_case</t>
  </si>
  <si>
    <t xml:space="preserve">string (150-300 chars)</t>
  </si>
  <si>
    <t xml:space="preserve">WHO uses this and WHEN — specific role, department, cadence, and trigger for running the query.</t>
  </si>
  <si>
    <t xml:space="preserve">Semantic layer: context</t>
  </si>
  <si>
    <t xml:space="preserve">business_value</t>
  </si>
  <si>
    <t xml:space="preserve">Quantifiable or qualifiable impact — revenue, cost savings, risk reduction, efficiency gain.</t>
  </si>
  <si>
    <t xml:space="preserve">Semantic layer: ontology</t>
  </si>
  <si>
    <t xml:space="preserve">complexity</t>
  </si>
  <si>
    <t xml:space="preserve">enum</t>
  </si>
  <si>
    <t xml:space="preserve">One of: basic, intermediate, advanced, expert. Based on SQL features used.</t>
  </si>
  <si>
    <t xml:space="preserve">BIRD: difficulty</t>
  </si>
  <si>
    <t xml:space="preserve">expected_output</t>
  </si>
  <si>
    <t xml:space="preserve">object</t>
  </si>
  <si>
    <t xml:space="preserve">Schema of result set: column names, data types, sample values, row count estimate.</t>
  </si>
  <si>
    <t xml:space="preserve">Spider: db_id (implicit)</t>
  </si>
  <si>
    <t xml:space="preserve">sql</t>
  </si>
  <si>
    <t xml:space="preserve">Production-quality SQL. Must execute without errors on the provided schema.</t>
  </si>
  <si>
    <t xml:space="preserve">BIRD: SQL / Spider: query</t>
  </si>
  <si>
    <t xml:space="preserve">tags</t>
  </si>
  <si>
    <t xml:space="preserve">array[string]</t>
  </si>
  <si>
    <t xml:space="preserve">Recommended</t>
  </si>
  <si>
    <t xml:space="preserve">Classification tags: domain area, SQL features used, business function.</t>
  </si>
  <si>
    <t xml:space="preserve">BIRD: — (enhancement)</t>
  </si>
  <si>
    <t xml:space="preserve">evidence</t>
  </si>
  <si>
    <t xml:space="preserve">Domain knowledge or business rules needed to understand the query (BIRD-compatible).</t>
  </si>
  <si>
    <t xml:space="preserve">BIRD: evidence</t>
  </si>
  <si>
    <t xml:space="preserve">CURRENT STATE vs RECOMMENDED STATE</t>
  </si>
  <si>
    <t xml:space="preserve">Field</t>
  </si>
  <si>
    <t xml:space="preserve">Well-Formed DBs (10)</t>
  </si>
  <si>
    <t xml:space="preserve">Broken DBs (6)</t>
  </si>
  <si>
    <t xml:space="preserve">Recommended Standard</t>
  </si>
  <si>
    <t xml:space="preserve">Action Required</t>
  </si>
  <si>
    <t xml:space="preserve">84-309 chars</t>
  </si>
  <si>
    <t xml:space="preserve">500 chars (truncated)</t>
  </si>
  <si>
    <t xml:space="preserve">300-500 chars, stakeholder voice</t>
  </si>
  <si>
    <t xml:space="preserve">Rewrite all — too short or truncated</t>
  </si>
  <si>
    <t xml:space="preserve">Present</t>
  </si>
  <si>
    <t xml:space="preserve">MISSING</t>
  </si>
  <si>
    <t xml:space="preserve">Required 200-400 chars</t>
  </si>
  <si>
    <t xml:space="preserve">Add to 6 broken DBs, expand in 10</t>
  </si>
  <si>
    <t xml:space="preserve">Required 150-300 chars</t>
  </si>
  <si>
    <t xml:space="preserve">line_number</t>
  </si>
  <si>
    <t xml:space="preserve">Absent</t>
  </si>
  <si>
    <t xml:space="preserve">REMOVE — not in spec</t>
  </si>
  <si>
    <t xml:space="preserve">Delete from all DBs</t>
  </si>
  <si>
    <t xml:space="preserve">Recommended — add</t>
  </si>
  <si>
    <t xml:space="preserve">New field across all DBs</t>
  </si>
  <si>
    <t xml:space="preserve">Recommended (BIRD compat)</t>
  </si>
  <si>
    <t xml:space="preserve">Rework &amp; Remediation Cost for 16 Delivered Databases</t>
  </si>
  <si>
    <t xml:space="preserve">REWORK EFFORT</t>
  </si>
  <si>
    <t xml:space="preserve">Task</t>
  </si>
  <si>
    <t xml:space="preserve">Hours/Query</t>
  </si>
  <si>
    <t xml:space="preserve">Queries Affected</t>
  </si>
  <si>
    <t xml:space="preserve">Total Hours</t>
  </si>
  <si>
    <t xml:space="preserve">Cost @ $100/hr</t>
  </si>
  <si>
    <t xml:space="preserve">Rewrite descriptions (all 16 DBs) — stakeholder voice</t>
  </si>
  <si>
    <t xml:space="preserve">Add purpose field (6 broken DBs)</t>
  </si>
  <si>
    <t xml:space="preserve">Add use_case field (6 broken DBs)</t>
  </si>
  <si>
    <t xml:space="preserve">Add business_value field (6 broken DBs)</t>
  </si>
  <si>
    <t xml:space="preserve">Remove line_number, fix JSON structure</t>
  </si>
  <si>
    <t xml:space="preserve">Expand purpose/use_case/biz_value (10 well-formed DBs)</t>
  </si>
  <si>
    <t xml:space="preserve">Add tags field (all 16 DBs)</t>
  </si>
  <si>
    <t xml:space="preserve">Add evidence/domain context (all 16 DBs)</t>
  </si>
  <si>
    <t xml:space="preserve">QA &amp; validation pass</t>
  </si>
  <si>
    <t xml:space="preserve">TOTAL REWORK</t>
  </si>
  <si>
    <t xml:space="preserve">TOTAL REWORK @ CONSULTING RATE ($475/hr)</t>
  </si>
  <si>
    <t xml:space="preserve">Revenue Earned (16 DBs × $2K)</t>
  </si>
  <si>
    <t xml:space="preserve">Net Position After Rework (Staffing Rate)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</si>
</sst>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\$#,##0"/>
    <numFmt numFmtId="168" formatCode="\$#,##0;&quot;($&quot;#,##0\);\-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C6EFCE"/>
      </patternFill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F2CC"/>
      </patternFill>
    </fill>
    <fill>
      <patternFill patternType="solid">
        <fgColor rgb="FFC6EFCE"/>
        <bgColor rgb="FFD6E4F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/>
    <row r="3" customFormat="false" ht="1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/>
    </row>
    <row r="5" customFormat="false" ht="15" hidden="false" customHeight="true" outlineLevel="0" collapsed="false">
      <c r="A5" s="5" t="s">
        <v>6</v>
      </c>
      <c r="B5" s="6" t="n">
        <v>100</v>
      </c>
      <c r="C5" s="7" t="s">
        <v>7</v>
      </c>
      <c r="D5" s="8" t="s">
        <v>8</v>
      </c>
    </row>
    <row r="6" customFormat="false" ht="15" hidden="false" customHeight="true" outlineLevel="0" collapsed="false">
      <c r="A6" s="5" t="s">
        <v>9</v>
      </c>
      <c r="B6" s="6" t="n">
        <v>30</v>
      </c>
      <c r="C6" s="7" t="s">
        <v>10</v>
      </c>
      <c r="D6" s="8" t="s">
        <v>11</v>
      </c>
    </row>
    <row r="7" customFormat="false" ht="15" hidden="false" customHeight="true" outlineLevel="0" collapsed="false">
      <c r="A7" s="5" t="s">
        <v>12</v>
      </c>
      <c r="B7" s="9" t="n">
        <f aca="false">B5*B6</f>
        <v>3000</v>
      </c>
      <c r="C7" s="7" t="s">
        <v>13</v>
      </c>
      <c r="D7" s="8" t="n">
        <f aca="false">B5*B6</f>
        <v>3000</v>
      </c>
    </row>
    <row r="8" customFormat="false" ht="15" hidden="false" customHeight="true" outlineLevel="0" collapsed="false">
      <c r="A8" s="5" t="s">
        <v>14</v>
      </c>
      <c r="B8" s="6" t="n">
        <v>16</v>
      </c>
      <c r="C8" s="7" t="s">
        <v>7</v>
      </c>
      <c r="D8" s="8" t="s">
        <v>15</v>
      </c>
    </row>
    <row r="9" customFormat="false" ht="15" hidden="false" customHeight="true" outlineLevel="0" collapsed="false">
      <c r="A9" s="5" t="s">
        <v>16</v>
      </c>
      <c r="B9" s="6" t="n">
        <v>452</v>
      </c>
      <c r="C9" s="7" t="s">
        <v>17</v>
      </c>
      <c r="D9" s="8" t="s">
        <v>18</v>
      </c>
    </row>
    <row r="10" customFormat="false" ht="23.25" hidden="false" customHeight="true" outlineLevel="0" collapsed="false">
      <c r="A10" s="5" t="s">
        <v>19</v>
      </c>
      <c r="B10" s="6" t="n">
        <v>6</v>
      </c>
      <c r="C10" s="7" t="s">
        <v>7</v>
      </c>
      <c r="D10" s="8" t="s">
        <v>20</v>
      </c>
    </row>
    <row r="11" customFormat="false" ht="15" hidden="false" customHeight="true" outlineLevel="0" collapsed="false">
      <c r="A11" s="5" t="s">
        <v>21</v>
      </c>
      <c r="B11" s="9" t="n">
        <f aca="false">B5-B8</f>
        <v>84</v>
      </c>
      <c r="C11" s="7" t="s">
        <v>7</v>
      </c>
      <c r="D11" s="8" t="n">
        <f aca="false">B5-B8</f>
        <v>84</v>
      </c>
    </row>
    <row r="12" customFormat="false" ht="15" hidden="false" customHeight="false" outlineLevel="0" collapsed="false"/>
    <row r="13" customFormat="false" ht="15" hidden="false" customHeight="true" outlineLevel="0" collapsed="false">
      <c r="A13" s="3" t="s">
        <v>22</v>
      </c>
      <c r="B13" s="3"/>
      <c r="C13" s="3"/>
      <c r="D13" s="3"/>
      <c r="E13" s="3"/>
    </row>
    <row r="14" customFormat="false" ht="15" hidden="false" customHeight="true" outlineLevel="0" collapsed="false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5</v>
      </c>
    </row>
    <row r="15" customFormat="false" ht="34.5" hidden="false" customHeight="true" outlineLevel="0" collapsed="false">
      <c r="A15" s="5" t="s">
        <v>27</v>
      </c>
      <c r="B15" s="10" t="n">
        <v>0.25</v>
      </c>
      <c r="C15" s="10" t="n">
        <v>0.5</v>
      </c>
      <c r="D15" s="10" t="n">
        <v>1</v>
      </c>
      <c r="E15" s="8" t="s">
        <v>28</v>
      </c>
    </row>
    <row r="16" customFormat="false" ht="23.25" hidden="false" customHeight="true" outlineLevel="0" collapsed="false">
      <c r="A16" s="5" t="s">
        <v>29</v>
      </c>
      <c r="B16" s="10" t="n">
        <v>0.5</v>
      </c>
      <c r="C16" s="10" t="n">
        <v>0.75</v>
      </c>
      <c r="D16" s="10" t="n">
        <v>1.5</v>
      </c>
      <c r="E16" s="8" t="s">
        <v>30</v>
      </c>
    </row>
    <row r="17" customFormat="false" ht="23.25" hidden="false" customHeight="true" outlineLevel="0" collapsed="false">
      <c r="A17" s="5" t="s">
        <v>31</v>
      </c>
      <c r="B17" s="10" t="n">
        <v>0.25</v>
      </c>
      <c r="C17" s="10" t="n">
        <v>0.5</v>
      </c>
      <c r="D17" s="10" t="n">
        <v>0.75</v>
      </c>
      <c r="E17" s="8" t="s">
        <v>32</v>
      </c>
    </row>
    <row r="18" customFormat="false" ht="23.25" hidden="false" customHeight="true" outlineLevel="0" collapsed="false">
      <c r="A18" s="5" t="s">
        <v>33</v>
      </c>
      <c r="B18" s="10" t="n">
        <v>0.15</v>
      </c>
      <c r="C18" s="10" t="n">
        <v>0.25</v>
      </c>
      <c r="D18" s="10" t="n">
        <v>0.5</v>
      </c>
      <c r="E18" s="8" t="s">
        <v>34</v>
      </c>
    </row>
    <row r="19" customFormat="false" ht="23.25" hidden="false" customHeight="true" outlineLevel="0" collapsed="false">
      <c r="A19" s="5" t="s">
        <v>35</v>
      </c>
      <c r="B19" s="10" t="n">
        <v>0.15</v>
      </c>
      <c r="C19" s="10" t="n">
        <v>0.25</v>
      </c>
      <c r="D19" s="10" t="n">
        <v>0.5</v>
      </c>
      <c r="E19" s="8" t="s">
        <v>36</v>
      </c>
    </row>
    <row r="20" customFormat="false" ht="23.25" hidden="false" customHeight="true" outlineLevel="0" collapsed="false">
      <c r="A20" s="5" t="s">
        <v>37</v>
      </c>
      <c r="B20" s="10" t="n">
        <v>0.1</v>
      </c>
      <c r="C20" s="10" t="n">
        <v>0.15</v>
      </c>
      <c r="D20" s="10" t="n">
        <v>0.25</v>
      </c>
      <c r="E20" s="8" t="s">
        <v>38</v>
      </c>
    </row>
    <row r="21" customFormat="false" ht="23.25" hidden="false" customHeight="true" outlineLevel="0" collapsed="false">
      <c r="A21" s="5" t="s">
        <v>39</v>
      </c>
      <c r="B21" s="10" t="n">
        <v>0.1</v>
      </c>
      <c r="C21" s="10" t="n">
        <v>0.15</v>
      </c>
      <c r="D21" s="10" t="n">
        <v>0.25</v>
      </c>
      <c r="E21" s="8" t="s">
        <v>40</v>
      </c>
    </row>
    <row r="22" customFormat="false" ht="23.25" hidden="false" customHeight="true" outlineLevel="0" collapsed="false">
      <c r="A22" s="5" t="s">
        <v>41</v>
      </c>
      <c r="B22" s="10" t="n">
        <v>0.15</v>
      </c>
      <c r="C22" s="10" t="n">
        <v>0.25</v>
      </c>
      <c r="D22" s="10" t="n">
        <v>0.5</v>
      </c>
      <c r="E22" s="8" t="s">
        <v>42</v>
      </c>
    </row>
    <row r="23" customFormat="false" ht="15" hidden="false" customHeight="true" outlineLevel="0" collapsed="false">
      <c r="A23" s="11" t="s">
        <v>43</v>
      </c>
      <c r="B23" s="12" t="n">
        <f aca="false">SUM(B15:B22)</f>
        <v>1.65</v>
      </c>
      <c r="C23" s="12" t="n">
        <f aca="false">SUM(C15:C22)</f>
        <v>2.8</v>
      </c>
      <c r="D23" s="12" t="n">
        <f aca="false">SUM(D15:D22)</f>
        <v>5.25</v>
      </c>
    </row>
    <row r="24" customFormat="false" ht="15" hidden="false" customHeight="true" outlineLevel="0" collapsed="false">
      <c r="A24" s="13" t="s">
        <v>44</v>
      </c>
      <c r="B24" s="14" t="n">
        <f aca="false">B23*B6</f>
        <v>49.5</v>
      </c>
      <c r="C24" s="14" t="n">
        <f aca="false">C23*B6</f>
        <v>84</v>
      </c>
      <c r="D24" s="14" t="n">
        <f aca="false">D23*B6</f>
        <v>157.5</v>
      </c>
    </row>
    <row r="25" customFormat="false" ht="15" hidden="false" customHeight="false" outlineLevel="0" collapsed="false"/>
    <row r="26" customFormat="false" ht="15" hidden="false" customHeight="true" outlineLevel="0" collapsed="false">
      <c r="A26" s="3" t="s">
        <v>45</v>
      </c>
      <c r="B26" s="3"/>
      <c r="C26" s="3"/>
      <c r="D26" s="3"/>
      <c r="E26" s="3"/>
    </row>
    <row r="27" customFormat="false" ht="15" hidden="false" customHeight="true" outlineLevel="0" collapsed="false">
      <c r="A27" s="4" t="s">
        <v>46</v>
      </c>
      <c r="B27" s="4" t="s">
        <v>47</v>
      </c>
      <c r="C27" s="4" t="s">
        <v>48</v>
      </c>
      <c r="D27" s="4" t="s">
        <v>49</v>
      </c>
      <c r="E27" s="4" t="s">
        <v>5</v>
      </c>
    </row>
    <row r="28" customFormat="false" ht="23.25" hidden="false" customHeight="true" outlineLevel="0" collapsed="false">
      <c r="A28" s="5" t="s">
        <v>50</v>
      </c>
      <c r="B28" s="15" t="n">
        <v>100</v>
      </c>
      <c r="C28" s="15" t="n">
        <v>475</v>
      </c>
      <c r="D28" s="16" t="n">
        <f aca="false">C28-B28</f>
        <v>375</v>
      </c>
      <c r="E28" s="8" t="s">
        <v>51</v>
      </c>
    </row>
    <row r="29" customFormat="false" ht="15" hidden="false" customHeight="true" outlineLevel="0" collapsed="false">
      <c r="A29" s="5" t="s">
        <v>52</v>
      </c>
      <c r="B29" s="16" t="n">
        <f aca="false">B28*8</f>
        <v>800</v>
      </c>
      <c r="C29" s="16" t="n">
        <f aca="false">C28*8</f>
        <v>3800</v>
      </c>
      <c r="D29" s="16" t="n">
        <f aca="false">C29-B29</f>
        <v>3000</v>
      </c>
      <c r="E29" s="17"/>
    </row>
    <row r="30" customFormat="false" ht="23.25" hidden="false" customHeight="true" outlineLevel="0" collapsed="false">
      <c r="A30" s="5" t="s">
        <v>53</v>
      </c>
      <c r="B30" s="16" t="n">
        <f aca="false">B28*C23</f>
        <v>280</v>
      </c>
      <c r="C30" s="16" t="n">
        <f aca="false">C28*C23</f>
        <v>1330</v>
      </c>
      <c r="D30" s="16" t="n">
        <f aca="false">C30-B30</f>
        <v>1050</v>
      </c>
      <c r="E30" s="8" t="s">
        <v>54</v>
      </c>
    </row>
    <row r="31" customFormat="false" ht="15" hidden="false" customHeight="true" outlineLevel="0" collapsed="false">
      <c r="A31" s="5" t="s">
        <v>55</v>
      </c>
      <c r="B31" s="16" t="n">
        <f aca="false">B30*B6</f>
        <v>8400</v>
      </c>
      <c r="C31" s="16" t="n">
        <f aca="false">C30*B6</f>
        <v>39900</v>
      </c>
      <c r="D31" s="16" t="n">
        <f aca="false">C31-B31</f>
        <v>31500</v>
      </c>
      <c r="E31" s="17"/>
    </row>
    <row r="32" customFormat="false" ht="15" hidden="false" customHeight="true" outlineLevel="0" collapsed="false">
      <c r="A32" s="5" t="s">
        <v>56</v>
      </c>
      <c r="B32" s="18" t="n">
        <f aca="false">B31*B5</f>
        <v>840000</v>
      </c>
      <c r="C32" s="18" t="n">
        <f aca="false">C31*B5</f>
        <v>3990000</v>
      </c>
      <c r="D32" s="18" t="n">
        <f aca="false">C32-B32</f>
        <v>3150000</v>
      </c>
      <c r="E32" s="17"/>
    </row>
    <row r="33" customFormat="false" ht="23.25" hidden="false" customHeight="true" outlineLevel="0" collapsed="false">
      <c r="A33" s="5" t="s">
        <v>57</v>
      </c>
      <c r="B33" s="19" t="n">
        <v>2000</v>
      </c>
      <c r="C33" s="19" t="n">
        <v>2000</v>
      </c>
      <c r="E33" s="8" t="s">
        <v>58</v>
      </c>
    </row>
    <row r="34" customFormat="false" ht="15" hidden="false" customHeight="true" outlineLevel="0" collapsed="false">
      <c r="A34" s="5" t="s">
        <v>59</v>
      </c>
      <c r="B34" s="20" t="n">
        <f aca="false">B33-B31</f>
        <v>-6400</v>
      </c>
      <c r="E34" s="17"/>
    </row>
    <row r="35" customFormat="false" ht="15" hidden="false" customHeight="true" outlineLevel="0" collapsed="false">
      <c r="A35" s="5" t="s">
        <v>60</v>
      </c>
      <c r="C35" s="20" t="n">
        <f aca="false">C33-C31</f>
        <v>-37900</v>
      </c>
      <c r="E35" s="17"/>
    </row>
    <row r="36" customFormat="false" ht="23.25" hidden="false" customHeight="true" outlineLevel="0" collapsed="false">
      <c r="A36" s="5" t="s">
        <v>61</v>
      </c>
      <c r="B36" s="21" t="n">
        <f aca="false">B33/C24</f>
        <v>23.8095238095238</v>
      </c>
      <c r="E36" s="8" t="s">
        <v>62</v>
      </c>
    </row>
    <row r="37" customFormat="false" ht="15" hidden="false" customHeight="true" outlineLevel="0" collapsed="false">
      <c r="A37" s="5"/>
      <c r="E37" s="17"/>
    </row>
    <row r="38" customFormat="false" ht="15" hidden="false" customHeight="true" outlineLevel="0" collapsed="false">
      <c r="A38" s="11" t="s">
        <v>63</v>
      </c>
      <c r="B38" s="22"/>
      <c r="C38" s="22"/>
      <c r="D38" s="22"/>
      <c r="E38" s="17"/>
    </row>
    <row r="39" customFormat="false" ht="15" hidden="false" customHeight="true" outlineLevel="0" collapsed="false">
      <c r="A39" s="13" t="s">
        <v>64</v>
      </c>
      <c r="B39" s="16" t="n">
        <f aca="false">B33*B5</f>
        <v>200000</v>
      </c>
      <c r="C39" s="16" t="n">
        <f aca="false">C33*B5</f>
        <v>200000</v>
      </c>
      <c r="E39" s="17"/>
    </row>
    <row r="40" customFormat="false" ht="15" hidden="false" customHeight="true" outlineLevel="0" collapsed="false">
      <c r="A40" s="13" t="s">
        <v>65</v>
      </c>
      <c r="B40" s="16" t="n">
        <f aca="false">B32</f>
        <v>840000</v>
      </c>
      <c r="C40" s="16" t="n">
        <f aca="false">C32</f>
        <v>3990000</v>
      </c>
      <c r="E40" s="17"/>
    </row>
    <row r="41" customFormat="false" ht="15" hidden="false" customHeight="true" outlineLevel="0" collapsed="false">
      <c r="A41" s="13" t="s">
        <v>66</v>
      </c>
      <c r="B41" s="23" t="n">
        <f aca="false">B39-B40</f>
        <v>-640000</v>
      </c>
      <c r="C41" s="23" t="n">
        <f aca="false">C39-C40</f>
        <v>-3790000</v>
      </c>
      <c r="E41" s="17"/>
    </row>
    <row r="42" customFormat="false" ht="15" hidden="false" customHeight="true" outlineLevel="0" collapsed="false">
      <c r="A42" s="13" t="s">
        <v>67</v>
      </c>
      <c r="B42" s="24" t="n">
        <f aca="false">IF(B39=0,0,B41/B39)</f>
        <v>-3.2</v>
      </c>
      <c r="C42" s="24" t="n">
        <f aca="false">IF(C39=0,0,C41/C39)</f>
        <v>-18.95</v>
      </c>
      <c r="E42" s="17"/>
    </row>
    <row r="43" customFormat="false" ht="15" hidden="false" customHeight="false" outlineLevel="0" collapsed="false"/>
    <row r="44" customFormat="false" ht="15" hidden="false" customHeight="true" outlineLevel="0" collapsed="false">
      <c r="A44" s="3" t="s">
        <v>68</v>
      </c>
      <c r="B44" s="3"/>
      <c r="C44" s="3"/>
      <c r="D44" s="3"/>
      <c r="E44" s="3"/>
    </row>
    <row r="45" customFormat="false" ht="15" hidden="false" customHeight="true" outlineLevel="0" collapsed="false">
      <c r="A45" s="4" t="s">
        <v>69</v>
      </c>
      <c r="B45" s="4" t="s">
        <v>70</v>
      </c>
      <c r="C45" s="4" t="s">
        <v>71</v>
      </c>
      <c r="D45" s="4" t="s">
        <v>72</v>
      </c>
      <c r="E45" s="4" t="s">
        <v>5</v>
      </c>
    </row>
    <row r="46" customFormat="false" ht="15" hidden="false" customHeight="true" outlineLevel="0" collapsed="false">
      <c r="A46" s="5" t="s">
        <v>73</v>
      </c>
      <c r="B46" s="15" t="n">
        <v>2</v>
      </c>
      <c r="C46" s="7" t="s">
        <v>74</v>
      </c>
      <c r="D46" s="7" t="s">
        <v>75</v>
      </c>
      <c r="E46" s="8" t="s">
        <v>76</v>
      </c>
    </row>
    <row r="47" customFormat="false" ht="15" hidden="false" customHeight="true" outlineLevel="0" collapsed="false">
      <c r="A47" s="5" t="s">
        <v>77</v>
      </c>
      <c r="B47" s="15" t="n">
        <v>8</v>
      </c>
      <c r="C47" s="7" t="s">
        <v>78</v>
      </c>
      <c r="D47" s="7" t="s">
        <v>79</v>
      </c>
      <c r="E47" s="8" t="s">
        <v>80</v>
      </c>
    </row>
    <row r="48" customFormat="false" ht="15" hidden="false" customHeight="true" outlineLevel="0" collapsed="false">
      <c r="A48" s="5" t="s">
        <v>81</v>
      </c>
      <c r="B48" s="15" t="n">
        <v>15</v>
      </c>
      <c r="C48" s="7" t="s">
        <v>82</v>
      </c>
      <c r="D48" s="7" t="s">
        <v>83</v>
      </c>
      <c r="E48" s="8" t="s">
        <v>84</v>
      </c>
    </row>
    <row r="49" customFormat="false" ht="15" hidden="false" customHeight="true" outlineLevel="0" collapsed="false">
      <c r="A49" s="5" t="s">
        <v>85</v>
      </c>
      <c r="B49" s="15" t="n">
        <v>25</v>
      </c>
      <c r="C49" s="7" t="s">
        <v>86</v>
      </c>
      <c r="D49" s="7" t="s">
        <v>87</v>
      </c>
      <c r="E49" s="8" t="s">
        <v>88</v>
      </c>
    </row>
    <row r="50" customFormat="false" ht="15" hidden="false" customHeight="true" outlineLevel="0" collapsed="false">
      <c r="A50" s="5" t="s">
        <v>89</v>
      </c>
      <c r="B50" s="21" t="n">
        <f aca="false">B33/B6</f>
        <v>66.6666666666667</v>
      </c>
      <c r="C50" s="7" t="s">
        <v>86</v>
      </c>
      <c r="D50" s="7" t="s">
        <v>87</v>
      </c>
      <c r="E50" s="8" t="s">
        <v>90</v>
      </c>
    </row>
    <row r="51" customFormat="false" ht="15" hidden="false" customHeight="true" outlineLevel="0" collapsed="false">
      <c r="A51" s="5" t="s">
        <v>91</v>
      </c>
      <c r="B51" s="16" t="n">
        <f aca="false">B31/B6</f>
        <v>280</v>
      </c>
      <c r="C51" s="7" t="s">
        <v>86</v>
      </c>
      <c r="D51" s="7" t="s">
        <v>87</v>
      </c>
      <c r="E51" s="8" t="s">
        <v>92</v>
      </c>
    </row>
    <row r="52" customFormat="false" ht="15" hidden="false" customHeight="true" outlineLevel="0" collapsed="false">
      <c r="A52" s="5" t="s">
        <v>93</v>
      </c>
      <c r="B52" s="16" t="n">
        <f aca="false">C31/B6</f>
        <v>1330</v>
      </c>
      <c r="C52" s="7" t="s">
        <v>86</v>
      </c>
      <c r="D52" s="7" t="s">
        <v>87</v>
      </c>
      <c r="E52" s="8" t="s">
        <v>94</v>
      </c>
    </row>
    <row r="53" customFormat="false" ht="15" hidden="false" customHeight="false" outlineLevel="0" collapsed="false"/>
    <row r="54" customFormat="false" ht="15" hidden="false" customHeight="false" outlineLevel="0" collapsed="false"/>
  </sheetData>
  <mergeCells count="5">
    <mergeCell ref="A1:E1"/>
    <mergeCell ref="A3:E3"/>
    <mergeCell ref="A13:E13"/>
    <mergeCell ref="A26:E26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55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95</v>
      </c>
      <c r="B1" s="2"/>
      <c r="C1" s="2"/>
      <c r="D1" s="2"/>
      <c r="E1" s="2"/>
    </row>
    <row r="3" customFormat="false" ht="15" hidden="false" customHeight="true" outlineLevel="0" collapsed="false">
      <c r="A3" s="3" t="s">
        <v>96</v>
      </c>
      <c r="B3" s="3"/>
      <c r="C3" s="3"/>
      <c r="D3" s="3"/>
      <c r="E3" s="3"/>
    </row>
    <row r="4" customFormat="false" ht="15" hidden="false" customHeight="true" outlineLevel="0" collapsed="false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</row>
    <row r="5" customFormat="false" ht="15" hidden="false" customHeight="true" outlineLevel="0" collapsed="false">
      <c r="A5" s="13" t="s">
        <v>102</v>
      </c>
      <c r="B5" s="5" t="s">
        <v>103</v>
      </c>
      <c r="C5" s="25" t="s">
        <v>104</v>
      </c>
      <c r="D5" s="5" t="s">
        <v>105</v>
      </c>
      <c r="E5" s="5" t="s">
        <v>106</v>
      </c>
    </row>
    <row r="6" customFormat="false" ht="15" hidden="false" customHeight="true" outlineLevel="0" collapsed="false">
      <c r="A6" s="13" t="s">
        <v>107</v>
      </c>
      <c r="B6" s="5" t="s">
        <v>108</v>
      </c>
      <c r="C6" s="25" t="s">
        <v>104</v>
      </c>
      <c r="D6" s="5" t="s">
        <v>109</v>
      </c>
      <c r="E6" s="5" t="s">
        <v>110</v>
      </c>
    </row>
    <row r="7" customFormat="false" ht="39" hidden="false" customHeight="true" outlineLevel="0" collapsed="false">
      <c r="A7" s="13" t="s">
        <v>111</v>
      </c>
      <c r="B7" s="5" t="s">
        <v>112</v>
      </c>
      <c r="C7" s="25" t="s">
        <v>104</v>
      </c>
      <c r="D7" s="5" t="s">
        <v>113</v>
      </c>
      <c r="E7" s="5" t="s">
        <v>114</v>
      </c>
    </row>
    <row r="8" customFormat="false" ht="26.25" hidden="false" customHeight="true" outlineLevel="0" collapsed="false">
      <c r="A8" s="13" t="s">
        <v>115</v>
      </c>
      <c r="B8" s="5" t="s">
        <v>116</v>
      </c>
      <c r="C8" s="25" t="s">
        <v>104</v>
      </c>
      <c r="D8" s="5" t="s">
        <v>117</v>
      </c>
      <c r="E8" s="5" t="s">
        <v>118</v>
      </c>
    </row>
    <row r="9" customFormat="false" ht="26.25" hidden="false" customHeight="true" outlineLevel="0" collapsed="false">
      <c r="A9" s="13" t="s">
        <v>119</v>
      </c>
      <c r="B9" s="5" t="s">
        <v>120</v>
      </c>
      <c r="C9" s="25" t="s">
        <v>104</v>
      </c>
      <c r="D9" s="5" t="s">
        <v>121</v>
      </c>
      <c r="E9" s="5" t="s">
        <v>122</v>
      </c>
    </row>
    <row r="10" customFormat="false" ht="26.25" hidden="false" customHeight="true" outlineLevel="0" collapsed="false">
      <c r="A10" s="13" t="s">
        <v>123</v>
      </c>
      <c r="B10" s="5" t="s">
        <v>120</v>
      </c>
      <c r="C10" s="25" t="s">
        <v>104</v>
      </c>
      <c r="D10" s="5" t="s">
        <v>124</v>
      </c>
      <c r="E10" s="5" t="s">
        <v>125</v>
      </c>
    </row>
    <row r="11" customFormat="false" ht="26.25" hidden="false" customHeight="true" outlineLevel="0" collapsed="false">
      <c r="A11" s="13" t="s">
        <v>126</v>
      </c>
      <c r="B11" s="5" t="s">
        <v>127</v>
      </c>
      <c r="C11" s="25" t="s">
        <v>104</v>
      </c>
      <c r="D11" s="5" t="s">
        <v>128</v>
      </c>
      <c r="E11" s="5" t="s">
        <v>129</v>
      </c>
    </row>
    <row r="12" customFormat="false" ht="26.25" hidden="false" customHeight="true" outlineLevel="0" collapsed="false">
      <c r="A12" s="13" t="s">
        <v>130</v>
      </c>
      <c r="B12" s="5" t="s">
        <v>131</v>
      </c>
      <c r="C12" s="25" t="s">
        <v>104</v>
      </c>
      <c r="D12" s="5" t="s">
        <v>132</v>
      </c>
      <c r="E12" s="5" t="s">
        <v>133</v>
      </c>
    </row>
    <row r="13" customFormat="false" ht="26.25" hidden="false" customHeight="true" outlineLevel="0" collapsed="false">
      <c r="A13" s="13" t="s">
        <v>134</v>
      </c>
      <c r="B13" s="5" t="s">
        <v>108</v>
      </c>
      <c r="C13" s="25" t="s">
        <v>104</v>
      </c>
      <c r="D13" s="5" t="s">
        <v>135</v>
      </c>
      <c r="E13" s="5" t="s">
        <v>136</v>
      </c>
    </row>
    <row r="14" customFormat="false" ht="26.25" hidden="false" customHeight="true" outlineLevel="0" collapsed="false">
      <c r="A14" s="13" t="s">
        <v>137</v>
      </c>
      <c r="B14" s="5" t="s">
        <v>138</v>
      </c>
      <c r="C14" s="26" t="s">
        <v>139</v>
      </c>
      <c r="D14" s="5" t="s">
        <v>140</v>
      </c>
      <c r="E14" s="5" t="s">
        <v>141</v>
      </c>
    </row>
    <row r="15" customFormat="false" ht="26.25" hidden="false" customHeight="true" outlineLevel="0" collapsed="false">
      <c r="A15" s="13" t="s">
        <v>142</v>
      </c>
      <c r="B15" s="5" t="s">
        <v>108</v>
      </c>
      <c r="C15" s="26" t="s">
        <v>139</v>
      </c>
      <c r="D15" s="5" t="s">
        <v>143</v>
      </c>
      <c r="E15" s="5" t="s">
        <v>144</v>
      </c>
    </row>
    <row r="18" customFormat="false" ht="15" hidden="false" customHeight="true" outlineLevel="0" collapsed="false">
      <c r="A18" s="3" t="s">
        <v>145</v>
      </c>
      <c r="B18" s="3"/>
      <c r="C18" s="3"/>
      <c r="D18" s="3"/>
      <c r="E18" s="3"/>
    </row>
    <row r="19" customFormat="false" ht="15" hidden="false" customHeight="true" outlineLevel="0" collapsed="false">
      <c r="A19" s="4" t="s">
        <v>146</v>
      </c>
      <c r="B19" s="4" t="s">
        <v>147</v>
      </c>
      <c r="C19" s="4" t="s">
        <v>148</v>
      </c>
      <c r="D19" s="4" t="s">
        <v>149</v>
      </c>
      <c r="E19" s="4" t="s">
        <v>150</v>
      </c>
    </row>
    <row r="20" customFormat="false" ht="26.25" hidden="false" customHeight="true" outlineLevel="0" collapsed="false">
      <c r="A20" s="5" t="s">
        <v>111</v>
      </c>
      <c r="B20" s="5" t="s">
        <v>151</v>
      </c>
      <c r="C20" s="5" t="s">
        <v>152</v>
      </c>
      <c r="D20" s="5" t="s">
        <v>153</v>
      </c>
      <c r="E20" s="27" t="s">
        <v>154</v>
      </c>
    </row>
    <row r="21" customFormat="false" ht="26.25" hidden="false" customHeight="true" outlineLevel="0" collapsed="false">
      <c r="A21" s="5" t="s">
        <v>115</v>
      </c>
      <c r="B21" s="5" t="s">
        <v>155</v>
      </c>
      <c r="C21" s="28" t="s">
        <v>156</v>
      </c>
      <c r="D21" s="5" t="s">
        <v>157</v>
      </c>
      <c r="E21" s="27" t="s">
        <v>158</v>
      </c>
    </row>
    <row r="22" customFormat="false" ht="26.25" hidden="false" customHeight="true" outlineLevel="0" collapsed="false">
      <c r="A22" s="5" t="s">
        <v>119</v>
      </c>
      <c r="B22" s="5" t="s">
        <v>155</v>
      </c>
      <c r="C22" s="28" t="s">
        <v>156</v>
      </c>
      <c r="D22" s="5" t="s">
        <v>159</v>
      </c>
      <c r="E22" s="27" t="s">
        <v>158</v>
      </c>
    </row>
    <row r="23" customFormat="false" ht="26.25" hidden="false" customHeight="true" outlineLevel="0" collapsed="false">
      <c r="A23" s="5" t="s">
        <v>123</v>
      </c>
      <c r="B23" s="5" t="s">
        <v>155</v>
      </c>
      <c r="C23" s="28" t="s">
        <v>156</v>
      </c>
      <c r="D23" s="5" t="s">
        <v>159</v>
      </c>
      <c r="E23" s="27" t="s">
        <v>158</v>
      </c>
    </row>
    <row r="24" customFormat="false" ht="15" hidden="false" customHeight="true" outlineLevel="0" collapsed="false">
      <c r="A24" s="5" t="s">
        <v>160</v>
      </c>
      <c r="B24" s="5" t="s">
        <v>161</v>
      </c>
      <c r="C24" s="5" t="s">
        <v>155</v>
      </c>
      <c r="D24" s="5" t="s">
        <v>162</v>
      </c>
      <c r="E24" s="27" t="s">
        <v>163</v>
      </c>
    </row>
    <row r="25" customFormat="false" ht="15" hidden="false" customHeight="true" outlineLevel="0" collapsed="false">
      <c r="A25" s="5" t="s">
        <v>137</v>
      </c>
      <c r="B25" s="5" t="s">
        <v>161</v>
      </c>
      <c r="C25" s="5" t="s">
        <v>161</v>
      </c>
      <c r="D25" s="5" t="s">
        <v>164</v>
      </c>
      <c r="E25" s="27" t="s">
        <v>165</v>
      </c>
    </row>
    <row r="26" customFormat="false" ht="15" hidden="false" customHeight="true" outlineLevel="0" collapsed="false">
      <c r="A26" s="5" t="s">
        <v>142</v>
      </c>
      <c r="B26" s="5" t="s">
        <v>161</v>
      </c>
      <c r="C26" s="5" t="s">
        <v>161</v>
      </c>
      <c r="D26" s="5" t="s">
        <v>166</v>
      </c>
      <c r="E26" s="27" t="s">
        <v>165</v>
      </c>
    </row>
  </sheetData>
  <mergeCells count="3">
    <mergeCell ref="A1:E1"/>
    <mergeCell ref="A3:E3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25"/>
  </cols>
  <sheetData>
    <row r="1" customFormat="false" ht="17.25" hidden="false" customHeight="true" outlineLevel="0" collapsed="false">
      <c r="A1" s="2" t="s">
        <v>167</v>
      </c>
      <c r="B1" s="2"/>
      <c r="C1" s="2"/>
      <c r="D1" s="2"/>
      <c r="E1" s="2"/>
    </row>
    <row r="3" customFormat="false" ht="15" hidden="false" customHeight="true" outlineLevel="0" collapsed="false">
      <c r="A3" s="3" t="s">
        <v>168</v>
      </c>
      <c r="B3" s="3"/>
      <c r="C3" s="3"/>
      <c r="D3" s="3"/>
      <c r="E3" s="3"/>
    </row>
    <row r="4" customFormat="false" ht="15" hidden="false" customHeight="true" outlineLevel="0" collapsed="false">
      <c r="A4" s="4" t="s">
        <v>169</v>
      </c>
      <c r="B4" s="4" t="s">
        <v>170</v>
      </c>
      <c r="C4" s="4" t="s">
        <v>171</v>
      </c>
      <c r="D4" s="4" t="s">
        <v>172</v>
      </c>
      <c r="E4" s="4" t="s">
        <v>173</v>
      </c>
    </row>
    <row r="5" customFormat="false" ht="26.25" hidden="false" customHeight="true" outlineLevel="0" collapsed="false">
      <c r="A5" s="5" t="s">
        <v>174</v>
      </c>
      <c r="B5" s="10" t="n">
        <v>0.5</v>
      </c>
      <c r="C5" s="6" t="n">
        <v>452</v>
      </c>
      <c r="D5" s="29" t="n">
        <f aca="false">B5*C5</f>
        <v>226</v>
      </c>
      <c r="E5" s="16" t="n">
        <f aca="false">D5*'Program Economics'!B28</f>
        <v>22600</v>
      </c>
    </row>
    <row r="6" customFormat="false" ht="15" hidden="false" customHeight="true" outlineLevel="0" collapsed="false">
      <c r="A6" s="5" t="s">
        <v>175</v>
      </c>
      <c r="B6" s="10" t="n">
        <v>0.5</v>
      </c>
      <c r="C6" s="6" t="n">
        <v>180</v>
      </c>
      <c r="D6" s="29" t="n">
        <f aca="false">B6*C6</f>
        <v>90</v>
      </c>
      <c r="E6" s="16" t="n">
        <f aca="false">D6*'Program Economics'!B28</f>
        <v>9000</v>
      </c>
    </row>
    <row r="7" customFormat="false" ht="15" hidden="false" customHeight="true" outlineLevel="0" collapsed="false">
      <c r="A7" s="5" t="s">
        <v>176</v>
      </c>
      <c r="B7" s="10" t="n">
        <v>0.25</v>
      </c>
      <c r="C7" s="6" t="n">
        <v>180</v>
      </c>
      <c r="D7" s="29" t="n">
        <f aca="false">B7*C7</f>
        <v>45</v>
      </c>
      <c r="E7" s="16" t="n">
        <f aca="false">D7*'Program Economics'!B28</f>
        <v>4500</v>
      </c>
    </row>
    <row r="8" customFormat="false" ht="15" hidden="false" customHeight="true" outlineLevel="0" collapsed="false">
      <c r="A8" s="5" t="s">
        <v>177</v>
      </c>
      <c r="B8" s="10" t="n">
        <v>0.25</v>
      </c>
      <c r="C8" s="6" t="n">
        <v>180</v>
      </c>
      <c r="D8" s="29" t="n">
        <f aca="false">B8*C8</f>
        <v>45</v>
      </c>
      <c r="E8" s="16" t="n">
        <f aca="false">D8*'Program Economics'!B28</f>
        <v>4500</v>
      </c>
    </row>
    <row r="9" customFormat="false" ht="15" hidden="false" customHeight="true" outlineLevel="0" collapsed="false">
      <c r="A9" s="5" t="s">
        <v>178</v>
      </c>
      <c r="B9" s="10" t="n">
        <v>0.1</v>
      </c>
      <c r="C9" s="6" t="n">
        <v>180</v>
      </c>
      <c r="D9" s="29" t="n">
        <f aca="false">B9*C9</f>
        <v>18</v>
      </c>
      <c r="E9" s="16" t="n">
        <f aca="false">D9*'Program Economics'!B28</f>
        <v>1800</v>
      </c>
    </row>
    <row r="10" customFormat="false" ht="26.25" hidden="false" customHeight="true" outlineLevel="0" collapsed="false">
      <c r="A10" s="5" t="s">
        <v>179</v>
      </c>
      <c r="B10" s="10" t="n">
        <v>0.35</v>
      </c>
      <c r="C10" s="6" t="n">
        <v>272</v>
      </c>
      <c r="D10" s="29" t="n">
        <f aca="false">B10*C10</f>
        <v>95.2</v>
      </c>
      <c r="E10" s="16" t="n">
        <f aca="false">D10*'Program Economics'!B28</f>
        <v>9520</v>
      </c>
    </row>
    <row r="11" customFormat="false" ht="15" hidden="false" customHeight="true" outlineLevel="0" collapsed="false">
      <c r="A11" s="5" t="s">
        <v>180</v>
      </c>
      <c r="B11" s="10" t="n">
        <v>0.15</v>
      </c>
      <c r="C11" s="6" t="n">
        <v>452</v>
      </c>
      <c r="D11" s="29" t="n">
        <f aca="false">B11*C11</f>
        <v>67.8</v>
      </c>
      <c r="E11" s="16" t="n">
        <f aca="false">D11*'Program Economics'!B28</f>
        <v>6780</v>
      </c>
    </row>
    <row r="12" customFormat="false" ht="15" hidden="false" customHeight="true" outlineLevel="0" collapsed="false">
      <c r="A12" s="5" t="s">
        <v>181</v>
      </c>
      <c r="B12" s="10" t="n">
        <v>0.25</v>
      </c>
      <c r="C12" s="6" t="n">
        <v>452</v>
      </c>
      <c r="D12" s="29" t="n">
        <f aca="false">B12*C12</f>
        <v>113</v>
      </c>
      <c r="E12" s="16" t="n">
        <f aca="false">D12*'Program Economics'!B28</f>
        <v>11300</v>
      </c>
    </row>
    <row r="13" customFormat="false" ht="15" hidden="false" customHeight="true" outlineLevel="0" collapsed="false">
      <c r="A13" s="5" t="s">
        <v>182</v>
      </c>
      <c r="B13" s="10" t="n">
        <v>0.1</v>
      </c>
      <c r="C13" s="6" t="n">
        <v>452</v>
      </c>
      <c r="D13" s="29" t="n">
        <f aca="false">B13*C13</f>
        <v>45.2</v>
      </c>
      <c r="E13" s="16" t="n">
        <f aca="false">D13*'Program Economics'!B28</f>
        <v>4520</v>
      </c>
    </row>
    <row r="14" customFormat="false" ht="15" hidden="false" customHeight="true" outlineLevel="0" collapsed="false">
      <c r="A14" s="30" t="s">
        <v>183</v>
      </c>
      <c r="D14" s="12" t="n">
        <f aca="false">SUM(D5:D13)</f>
        <v>745.2</v>
      </c>
      <c r="E14" s="18" t="n">
        <f aca="false">SUM(E5:E13)</f>
        <v>74520</v>
      </c>
    </row>
    <row r="15" customFormat="false" ht="26.25" hidden="false" customHeight="true" outlineLevel="0" collapsed="false">
      <c r="A15" s="13" t="s">
        <v>184</v>
      </c>
      <c r="E15" s="31" t="n">
        <f aca="false">D14*'Program Economics'!C28</f>
        <v>353970</v>
      </c>
    </row>
    <row r="17" customFormat="false" ht="15" hidden="false" customHeight="true" outlineLevel="0" collapsed="false">
      <c r="A17" s="5" t="s">
        <v>185</v>
      </c>
      <c r="E17" s="16" t="n">
        <f aca="false">'Program Economics'!B8*'Program Economics'!B33</f>
        <v>32000</v>
      </c>
    </row>
    <row r="18" customFormat="false" ht="26.25" hidden="false" customHeight="true" outlineLevel="0" collapsed="false">
      <c r="A18" s="13" t="s">
        <v>186</v>
      </c>
      <c r="E18" s="32" t="n">
        <f aca="false">E17-E14</f>
        <v>-42520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2026-02-14T02:35:42Z</dcterms:created>
  <dc:creator>openpyxl</dc:creator>
  <dc:description/>
  <dc:language>en-US</dc:language>
  <cp:lastModifiedBy/>
  <dcterms:modified xsi:type="dcterms:W3CDTF">2026-02-14T02:36:02Z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