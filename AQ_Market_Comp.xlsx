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 Comparison" sheetId="1" state="visible" r:id="rId3"/>
    <sheet name="AQ Deliverable Audit" sheetId="2" state="visible" r:id="rId4"/>
    <sheet name="Fair Market Valu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<sst xmlns="http://schemas.openxmlformats.org/spreadsheetml/2006/main" count="727" uniqueCount="511">
  <si>
    <t xml:space="preserve">Metric</t>
  </si>
  <si>
    <t xml:space="preserve">BIRD (NeurIPS 2023)</t>
  </si>
  <si>
    <t xml:space="preserve">Spider 2.0 (2024)</t>
  </si>
  <si>
    <t xml:space="preserve">AQ Program (2025)</t>
  </si>
  <si>
    <t xml:space="preserve">Notes</t>
  </si>
  <si>
    <t xml:space="preserve">SCALE &amp; SCOPE</t>
  </si>
  <si>
    <t xml:space="preserve">Total Databases</t>
  </si>
  <si>
    <t xml:space="preserve">AQ target; 16 delivered to date</t>
  </si>
  <si>
    <t xml:space="preserve">Total Query Pairs</t>
  </si>
  <si>
    <t xml:space="preserve">AQ: 30 per DB x 100 DBs</t>
  </si>
  <si>
    <t xml:space="preserve">Avg Queries per DB</t>
  </si>
  <si>
    <t xml:space="preserve">BIRD ~134/DB; Spider ~3/DB; AQ 30/DB</t>
  </si>
  <si>
    <t xml:space="preserve">Total Data Size</t>
  </si>
  <si>
    <t xml:space="preserve">33.4 GB</t>
  </si>
  <si>
    <t xml:space="preserve">Enterprise-scale</t>
  </si>
  <si>
    <t xml:space="preserve">TBD</t>
  </si>
  <si>
    <t xml:space="preserve">BIRD: avg 549K rows/DB</t>
  </si>
  <si>
    <t xml:space="preserve">Professional Domains</t>
  </si>
  <si>
    <t xml:space="preserve">6+ SQL dialects</t>
  </si>
  <si>
    <t xml:space="preserve">Enterprise</t>
  </si>
  <si>
    <t xml:space="preserve">Spider 2.0: BigQuery, Snowflake, etc.</t>
  </si>
  <si>
    <t xml:space="preserve">Database Complexity</t>
  </si>
  <si>
    <t xml:space="preserve">50-100 columns</t>
  </si>
  <si>
    <t xml:space="preserve">1,000+ columns</t>
  </si>
  <si>
    <t xml:space="preserve">Varies</t>
  </si>
  <si>
    <t xml:space="preserve">Spider 2.0 is 4.3x harder than Spider 1.0</t>
  </si>
  <si>
    <t xml:space="preserve">ANNOTATION TEAM &amp; PROCESS</t>
  </si>
  <si>
    <t xml:space="preserve">Total Team Size</t>
  </si>
  <si>
    <t xml:space="preserve">30-50 people (est.)</t>
  </si>
  <si>
    <t xml:space="preserve">8 expert CS professionals</t>
  </si>
  <si>
    <t xml:space="preserve">1 person</t>
  </si>
  <si>
    <t xml:space="preserve">AQ: single 10-yr technology professional</t>
  </si>
  <si>
    <t xml:space="preserve">NL Question Writers</t>
  </si>
  <si>
    <t xml:space="preserve">11 native English speakers</t>
  </si>
  <si>
    <t xml:space="preserve">Same 8 experts</t>
  </si>
  <si>
    <t xml:space="preserve">BIRD hired dedicated NL annotators</t>
  </si>
  <si>
    <t xml:space="preserve">SQL Annotators</t>
  </si>
  <si>
    <t xml:space="preserve">Data engineers + DB students</t>
  </si>
  <si>
    <t xml:space="preserve">BIRD: separate SQL annotation team</t>
  </si>
  <si>
    <t xml:space="preserve">DB Curation Team</t>
  </si>
  <si>
    <t xml:space="preserve">Database specialists</t>
  </si>
  <si>
    <t xml:space="preserve">Research team</t>
  </si>
  <si>
    <t xml:space="preserve">BIRD: dedicated DB description file creators</t>
  </si>
  <si>
    <t xml:space="preserve">QA/Review Staff</t>
  </si>
  <si>
    <t xml:space="preserve">3 evaluators per question</t>
  </si>
  <si>
    <t xml:space="preserve">3+ reviewers per example</t>
  </si>
  <si>
    <t xml:space="preserve">BIRD: 3-expert voting; Spider: 2 full review cycles</t>
  </si>
  <si>
    <t xml:space="preserve">Annotation Method</t>
  </si>
  <si>
    <t xml:space="preserve">Double-blind, 2/3 consensus</t>
  </si>
  <si>
    <t xml:space="preserve">6-step pipeline, 3+ reviewers</t>
  </si>
  <si>
    <t xml:space="preserve">Single-pass</t>
  </si>
  <si>
    <t xml:space="preserve">AQ has no multi-reviewer QA process</t>
  </si>
  <si>
    <t xml:space="preserve">Quality Gate</t>
  </si>
  <si>
    <t xml:space="preserve">Entrance exam (9/10 SQL)</t>
  </si>
  <si>
    <t xml:space="preserve">45% initial error rate caught</t>
  </si>
  <si>
    <t xml:space="preserve">Client review only</t>
  </si>
  <si>
    <t xml:space="preserve">BIRD required qualifying exam to annotate</t>
  </si>
  <si>
    <t xml:space="preserve">DB Sourcing</t>
  </si>
  <si>
    <t xml:space="preserve">80 Kaggle + 15 created</t>
  </si>
  <si>
    <t xml:space="preserve">Real production systems</t>
  </si>
  <si>
    <t xml:space="preserve">Contractor sources</t>
  </si>
  <si>
    <t xml:space="preserve">AQ: contractor finds + licenses databases</t>
  </si>
  <si>
    <t xml:space="preserve">DELIVERABLES PER QUERY PAIR</t>
  </si>
  <si>
    <t xml:space="preserve">NL Question</t>
  </si>
  <si>
    <t xml:space="preserve">Yes</t>
  </si>
  <si>
    <t xml:space="preserve">Yes (as title)</t>
  </si>
  <si>
    <t xml:space="preserve">SQL Query</t>
  </si>
  <si>
    <t xml:space="preserve">Yes (multi-dialect)</t>
  </si>
  <si>
    <t xml:space="preserve">Spider 2.0: 100+ line queries</t>
  </si>
  <si>
    <t xml:space="preserve">Evidence / External Knowledge</t>
  </si>
  <si>
    <t xml:space="preserve">Yes (70% of queries)</t>
  </si>
  <si>
    <t xml:space="preserve">Yes (DB metadata)</t>
  </si>
  <si>
    <t xml:space="preserve">No - missing</t>
  </si>
  <si>
    <t xml:space="preserve">Critical for LLM grounding</t>
  </si>
  <si>
    <t xml:space="preserve">Difficulty Rating</t>
  </si>
  <si>
    <t xml:space="preserve">Yes (simple/moderate/challenging)</t>
  </si>
  <si>
    <t xml:space="preserve">Implicit</t>
  </si>
  <si>
    <t xml:space="preserve">As "complexity"</t>
  </si>
  <si>
    <t xml:space="preserve">AQ uses non-standard field name</t>
  </si>
  <si>
    <t xml:space="preserve">Database Description File</t>
  </si>
  <si>
    <t xml:space="preserve">Yes (per DB)</t>
  </si>
  <si>
    <t xml:space="preserve">Yes (full schema)</t>
  </si>
  <si>
    <t xml:space="preserve">Partial (10/16 DBs)</t>
  </si>
  <si>
    <t xml:space="preserve">6 DBs missing purpose/use_case/business_value</t>
  </si>
  <si>
    <t xml:space="preserve">Schema Context</t>
  </si>
  <si>
    <t xml:space="preserve">Column descriptions + value samples</t>
  </si>
  <si>
    <t xml:space="preserve">Full enterprise schema</t>
  </si>
  <si>
    <t xml:space="preserve">Not included</t>
  </si>
  <si>
    <t xml:space="preserve">Not in any AQ deliverable</t>
  </si>
  <si>
    <t xml:space="preserve">Expected Output</t>
  </si>
  <si>
    <t xml:space="preserve">Not standard</t>
  </si>
  <si>
    <t xml:space="preserve">AQ includes this; benchmarks do not</t>
  </si>
  <si>
    <t xml:space="preserve">Quality Score</t>
  </si>
  <si>
    <t xml:space="preserve">Implicit (multi-reviewer)</t>
  </si>
  <si>
    <t xml:space="preserve">Implicit (review cycles)</t>
  </si>
  <si>
    <t xml:space="preserve">Neither benchmark uses explicit score field</t>
  </si>
  <si>
    <t xml:space="preserve">DB Sourcing Included</t>
  </si>
  <si>
    <t xml:space="preserve">No - pre-curated by team</t>
  </si>
  <si>
    <t xml:space="preserve">Yes - contractor sources</t>
  </si>
  <si>
    <t xml:space="preserve">AQ scope is strictly larger</t>
  </si>
  <si>
    <t xml:space="preserve">Business Value Documentation</t>
  </si>
  <si>
    <t xml:space="preserve">No</t>
  </si>
  <si>
    <t xml:space="preserve">AQ goes beyond benchmark requirements</t>
  </si>
  <si>
    <t xml:space="preserve">ECONOMICS &amp; PRICING</t>
  </si>
  <si>
    <t xml:space="preserve">Annotator Type</t>
  </si>
  <si>
    <t xml:space="preserve">Crowdsource + students</t>
  </si>
  <si>
    <t xml:space="preserve">Expert CS professionals</t>
  </si>
  <si>
    <t xml:space="preserve">Senior consultant (10yr)</t>
  </si>
  <si>
    <t xml:space="preserve">Est. Annotator Hourly Rate</t>
  </si>
  <si>
    <t xml:space="preserve">Source: market research</t>
  </si>
  <si>
    <t xml:space="preserve">Est. Hours per Query Pair</t>
  </si>
  <si>
    <t xml:space="preserve">BIRD est from team size; AQ from task breakdown</t>
  </si>
  <si>
    <t xml:space="preserve">Est. Cost per Query Pair</t>
  </si>
  <si>
    <t xml:space="preserve">Formula: rate x hours</t>
  </si>
  <si>
    <t xml:space="preserve">Est. Total Annotation Cost</t>
  </si>
  <si>
    <t xml:space="preserve">Formula: cost/pair x pairs</t>
  </si>
  <si>
    <t xml:space="preserve">Contract Price per Query Pair</t>
  </si>
  <si>
    <t xml:space="preserve">N/A (academic)</t>
  </si>
  <si>
    <t xml:space="preserve">AQ: $2K / 30 queries</t>
  </si>
  <si>
    <t xml:space="preserve">Contract Price per Database</t>
  </si>
  <si>
    <t xml:space="preserve">Source: AQ contract</t>
  </si>
  <si>
    <t xml:space="preserve">Total Contract Value</t>
  </si>
  <si>
    <t xml:space="preserve">N/A</t>
  </si>
  <si>
    <t xml:space="preserve">AQ: $2K x 100 DBs</t>
  </si>
  <si>
    <t xml:space="preserve">Implied Contractor Hourly Rate</t>
  </si>
  <si>
    <t xml:space="preserve">Contract price / hours worked</t>
  </si>
  <si>
    <t xml:space="preserve">Discount vs Market Rate</t>
  </si>
  <si>
    <t xml:space="preserve">1 - (implied rate / market rate)</t>
  </si>
  <si>
    <t xml:space="preserve">SCOPE COMPARISON SUMMARY</t>
  </si>
  <si>
    <t xml:space="preserve">No (pre-curated)</t>
  </si>
  <si>
    <t xml:space="preserve">Yes (contractor)</t>
  </si>
  <si>
    <t xml:space="preserve">AQ scope is strictly larger than benchmarks</t>
  </si>
  <si>
    <t xml:space="preserve">Query Authoring</t>
  </si>
  <si>
    <t xml:space="preserve">Yes (crowdsource)</t>
  </si>
  <si>
    <t xml:space="preserve">Yes (expert)</t>
  </si>
  <si>
    <t xml:space="preserve">All three require original SQL authoring</t>
  </si>
  <si>
    <t xml:space="preserve">NL Question Writing</t>
  </si>
  <si>
    <t xml:space="preserve">Yes (dedicated team)</t>
  </si>
  <si>
    <t xml:space="preserve">BIRD: separate team of 11 native speakers</t>
  </si>
  <si>
    <t xml:space="preserve">Evidence/Knowledge Docs</t>
  </si>
  <si>
    <t xml:space="preserve">Yes (70%)</t>
  </si>
  <si>
    <t xml:space="preserve">Required but missing</t>
  </si>
  <si>
    <t xml:space="preserve">6/16 delivered DBs lack documentation</t>
  </si>
  <si>
    <t xml:space="preserve">Schema Documentation</t>
  </si>
  <si>
    <t xml:space="preserve">Yes (DB description files)</t>
  </si>
  <si>
    <t xml:space="preserve">Yes (full metadata)</t>
  </si>
  <si>
    <t xml:space="preserve">Not in any AQ deliverable currently</t>
  </si>
  <si>
    <t xml:space="preserve">QA / Multi-Review</t>
  </si>
  <si>
    <t xml:space="preserve">Yes (3-expert, double-blind)</t>
  </si>
  <si>
    <t xml:space="preserve">Yes (3+ reviewer, 2 cycles)</t>
  </si>
  <si>
    <t xml:space="preserve">No (single-pass)</t>
  </si>
  <si>
    <t xml:space="preserve">AQ has no independent QA layer</t>
  </si>
  <si>
    <t xml:space="preserve">Business Context Layer</t>
  </si>
  <si>
    <t xml:space="preserve">Yes (when present)</t>
  </si>
  <si>
    <t xml:space="preserve">AQ exceeds benchmarks on this dimension</t>
  </si>
  <si>
    <t xml:space="preserve">Total Scope vs BIRD</t>
  </si>
  <si>
    <t xml:space="preserve">Baseline</t>
  </si>
  <si>
    <t xml:space="preserve">Larger DBs, fewer queries</t>
  </si>
  <si>
    <t xml:space="preserve">BIRD + sourcing + biz docs</t>
  </si>
  <si>
    <t xml:space="preserve">AQ delivers MORE than BIRD per DB</t>
  </si>
  <si>
    <t xml:space="preserve">AI TRAINING EXPERT MARKET RATES (2025-2026)</t>
  </si>
  <si>
    <t xml:space="preserve">Basic Annotator (US)</t>
  </si>
  <si>
    <t xml:space="preserve">$15-$28/hr</t>
  </si>
  <si>
    <t xml:space="preserve">$4-$12/hr (offshore)</t>
  </si>
  <si>
    <t xml:space="preserve">ZipRecruiter avg $22.63/hr; simple labeling</t>
  </si>
  <si>
    <t xml:space="preserve">Domain Expert Annotator</t>
  </si>
  <si>
    <t xml:space="preserve">$25-$50/hr</t>
  </si>
  <si>
    <t xml:space="preserve">$20-$30/hr</t>
  </si>
  <si>
    <t xml:space="preserve">Medical, legal, finance, coding domains</t>
  </si>
  <si>
    <t xml:space="preserve">RLHF Expert (Coding/STEM)</t>
  </si>
  <si>
    <t xml:space="preserve">$40-$100/hr</t>
  </si>
  <si>
    <t xml:space="preserve">$40+/hr</t>
  </si>
  <si>
    <t xml:space="preserve">DataAnnotation.tech: $40+ for coding/SQL</t>
  </si>
  <si>
    <t xml:space="preserve">Senior Domain Expert (Mercor)</t>
  </si>
  <si>
    <t xml:space="preserve">$81/hr avg, up to $200/hr</t>
  </si>
  <si>
    <t xml:space="preserve">$75-$200/hr</t>
  </si>
  <si>
    <t xml:space="preserve">Mercor: 4+ yrs professional exp required</t>
  </si>
  <si>
    <t xml:space="preserve">Licensed Professional (Law/Med/Fin)</t>
  </si>
  <si>
    <t xml:space="preserve">$50-$100+/hr</t>
  </si>
  <si>
    <t xml:space="preserve">$50+/hr</t>
  </si>
  <si>
    <t xml:space="preserve">DataAnnotation.tech: $50+ for credentialed</t>
  </si>
  <si>
    <t xml:space="preserve">Text-to-SQL Specialist</t>
  </si>
  <si>
    <t xml:space="preserve">$75-$200/hr (est.)</t>
  </si>
  <si>
    <t xml:space="preserve">$475/hr</t>
  </si>
  <si>
    <t xml:space="preserve">Requires SQL + domain + NL skills; AQ scope</t>
  </si>
  <si>
    <t xml:space="preserve">Complex LLM Task (per example)</t>
  </si>
  <si>
    <t xml:space="preserve">Up to $100/example</t>
  </si>
  <si>
    <t xml:space="preserve">Scale AI, BasicAI managed services</t>
  </si>
  <si>
    <t xml:space="preserve">KEY COMPARISON</t>
  </si>
  <si>
    <t xml:space="preserve">AI Training Market</t>
  </si>
  <si>
    <t xml:space="preserve">AQ Implied Rate</t>
  </si>
  <si>
    <t xml:space="preserve">Gap</t>
  </si>
  <si>
    <t xml:space="preserve">Coding/SQL Annotation Floor</t>
  </si>
  <si>
    <t xml:space="preserve">$40/hr</t>
  </si>
  <si>
    <t xml:space="preserve">$24/hr (AQ implied)</t>
  </si>
  <si>
    <t xml:space="preserve">40% below floor</t>
  </si>
  <si>
    <t xml:space="preserve">AQ pays below entry-level coding annotation</t>
  </si>
  <si>
    <t xml:space="preserve">Expert RLHF Midpoint</t>
  </si>
  <si>
    <t xml:space="preserve">$70/hr</t>
  </si>
  <si>
    <t xml:space="preserve">66% below midpoint</t>
  </si>
  <si>
    <t xml:space="preserve">AQ pays 1/3 of expert RLHF midpoint</t>
  </si>
  <si>
    <t xml:space="preserve">Senior Domain Expert Avg</t>
  </si>
  <si>
    <t xml:space="preserve">$81/hr</t>
  </si>
  <si>
    <t xml:space="preserve">70% below avg</t>
  </si>
  <si>
    <t xml:space="preserve">Mercor avg for 4+ yr professionals</t>
  </si>
  <si>
    <t xml:space="preserve">Consulting Rate (Betty)</t>
  </si>
  <si>
    <t xml:space="preserve">95% below rate</t>
  </si>
  <si>
    <t xml:space="preserve">AQ scope requires consulting-level expertise</t>
  </si>
  <si>
    <t xml:space="preserve">DB LICENSING COST CONTEXT</t>
  </si>
  <si>
    <t xml:space="preserve">Database ACV (license/access)</t>
  </si>
  <si>
    <t xml:space="preserve">$1,000-$2,000/yr</t>
  </si>
  <si>
    <t xml:space="preserve">Typical enterprise DB annual contract value</t>
  </si>
  <si>
    <t xml:space="preserve">AQ pays per database (total)</t>
  </si>
  <si>
    <t xml:space="preserve">$2,000</t>
  </si>
  <si>
    <t xml:space="preserve">Same as raw DB access cost</t>
  </si>
  <si>
    <t xml:space="preserve">Implied expert labor value</t>
  </si>
  <si>
    <t xml:space="preserve">$0-$1,000</t>
  </si>
  <si>
    <t xml:space="preserve">$0/hr effective</t>
  </si>
  <si>
    <t xml:space="preserve">AQ pricing values expert labor at or near $0</t>
  </si>
  <si>
    <t xml:space="preserve">INTERPRETATION: If DB access alone costs $1K-$2K ACV, and AQ pays $2K total per DB,</t>
  </si>
  <si>
    <t xml:space="preserve">AQ is valuing the expert labor (sourcing + SQL + documentation) at effectively $0.</t>
  </si>
  <si>
    <t xml:space="preserve">PROPOSED RATE: $2K FOR SQL QUERIES ONLY</t>
  </si>
  <si>
    <t xml:space="preserve">Betty ask: $2,000 per DB for SQL authoring alone</t>
  </si>
  <si>
    <t xml:space="preserve">Separate from DB sourcing &amp; documentation</t>
  </si>
  <si>
    <t xml:space="preserve">$2K / 30 queries = $66.67/query pair</t>
  </si>
  <si>
    <t xml:space="preserve">At 2.8 hrs/query = $23.81/hr implied</t>
  </si>
  <si>
    <t xml:space="preserve">Even at $2K SQL-only, implied rate is BELOW $40/hr coding floor</t>
  </si>
  <si>
    <t xml:space="preserve">Conservative vs every AI training benchmark</t>
  </si>
  <si>
    <t xml:space="preserve">Proposed minimum per DB: $3K-$4K (DB access + SQL)</t>
  </si>
  <si>
    <t xml:space="preserve">Excludes documentation scope</t>
  </si>
  <si>
    <t xml:space="preserve">AQ CLIENT-SIDE PRICING / VALUE CHAIN</t>
  </si>
  <si>
    <t xml:space="preserve">What AQ Should Charge Their Client</t>
  </si>
  <si>
    <t xml:space="preserve">Market Reference</t>
  </si>
  <si>
    <t xml:space="preserve">Implied $/DB</t>
  </si>
  <si>
    <t xml:space="preserve">Source</t>
  </si>
  <si>
    <t xml:space="preserve">Scale AI avg annual contract</t>
  </si>
  <si>
    <t xml:space="preserve">$93,000/yr</t>
  </si>
  <si>
    <t xml:space="preserve">Brookings/Forbes 2024-2025; min $50K</t>
  </si>
  <si>
    <t xml:space="preserve">Custom dataset acquisition</t>
  </si>
  <si>
    <t xml:space="preserve">$10,000-$90,000</t>
  </si>
  <si>
    <t xml:space="preserve">Appen, Lionbridge, Scale AI managed services</t>
  </si>
  <si>
    <t xml:space="preserve">Text-to-SQL annotation (SkyRL-SQL)</t>
  </si>
  <si>
    <t xml:space="preserve">$100/annotation</t>
  </si>
  <si>
    <t xml:space="preserve">$3,000</t>
  </si>
  <si>
    <t xml:space="preserve">600 annotations cost $60K (SJTU/ByteDance 2025)</t>
  </si>
  <si>
    <t xml:space="preserve">RLHF high-quality example</t>
  </si>
  <si>
    <t xml:space="preserve">Scale AI, Surge AI managed annotation</t>
  </si>
  <si>
    <t xml:space="preserve">Enterprise AI training dataset</t>
  </si>
  <si>
    <t xml:space="preserve">$50,000-$400,000+</t>
  </si>
  <si>
    <t xml:space="preserve">Scale AI enterprise contracts 2024-2025</t>
  </si>
  <si>
    <t xml:space="preserve">STAFFING INDUSTRY MARKUP BENCHMARKS</t>
  </si>
  <si>
    <t xml:space="preserve">Standard staffing markup</t>
  </si>
  <si>
    <t xml:space="preserve">1.5x-2.0x</t>
  </si>
  <si>
    <t xml:space="preserve">ASA (American Staffing Association) norm</t>
  </si>
  <si>
    <t xml:space="preserve">Technical/specialized markup</t>
  </si>
  <si>
    <t xml:space="preserve">2.0x-4.0x</t>
  </si>
  <si>
    <t xml:space="preserve">IT staffing, domain expert roles</t>
  </si>
  <si>
    <t xml:space="preserve">AQ markup range on Betty rate</t>
  </si>
  <si>
    <t xml:space="preserve">At 1.5x markup on $2K</t>
  </si>
  <si>
    <t xml:space="preserve">Conservative staffing industry floor</t>
  </si>
  <si>
    <t xml:space="preserve">At 2.0x markup on $2K</t>
  </si>
  <si>
    <t xml:space="preserve">$4,000</t>
  </si>
  <si>
    <t xml:space="preserve">Standard technical markup</t>
  </si>
  <si>
    <t xml:space="preserve">At 3.0x markup on $2K</t>
  </si>
  <si>
    <t xml:space="preserve">$6,000</t>
  </si>
  <si>
    <t xml:space="preserve">Typical managed-services markup</t>
  </si>
  <si>
    <t xml:space="preserve">At market rate ($100/annot)</t>
  </si>
  <si>
    <t xml:space="preserve">Per-annotation pricing at SkyRL-SQL rate</t>
  </si>
  <si>
    <t xml:space="preserve">VALUE CHAIN SUMMARY</t>
  </si>
  <si>
    <t xml:space="preserve">AQ pays Betty per DB</t>
  </si>
  <si>
    <t xml:space="preserve">Contract price; $24/hr implied</t>
  </si>
  <si>
    <t xml:space="preserve">AQ likely charges client per DB</t>
  </si>
  <si>
    <t xml:space="preserve">$3,000-$9,000+</t>
  </si>
  <si>
    <t xml:space="preserve">Based on markup norms + market rates</t>
  </si>
  <si>
    <t xml:space="preserve">AQ margin per DB (conservative)</t>
  </si>
  <si>
    <t xml:space="preserve">$1,000-$7,000+</t>
  </si>
  <si>
    <t xml:space="preserve">33%-78%+ gross margin</t>
  </si>
  <si>
    <t xml:space="preserve">AQ margin on full program (100 DBs)</t>
  </si>
  <si>
    <t xml:space="preserve">$100K-$700K+</t>
  </si>
  <si>
    <t xml:space="preserve">While paying below entry-level annotation</t>
  </si>
  <si>
    <t xml:space="preserve">MARKET CONTEXT</t>
  </si>
  <si>
    <t xml:space="preserve">Data annotation market (2025)</t>
  </si>
  <si>
    <t xml:space="preserve">$2.32 billion</t>
  </si>
  <si>
    <t xml:space="preserve">Global market size, Grand View Research</t>
  </si>
  <si>
    <t xml:space="preserve">Data annotation market (2030)</t>
  </si>
  <si>
    <t xml:space="preserve">$9.78 billion</t>
  </si>
  <si>
    <t xml:space="preserve">27.1% CAGR projected</t>
  </si>
  <si>
    <t xml:space="preserve">Scale AI revenue (2024)</t>
  </si>
  <si>
    <t xml:space="preserve">$870 million</t>
  </si>
  <si>
    <t xml:space="preserve">Up from $400M+ prior year</t>
  </si>
  <si>
    <t xml:space="preserve">Scale AI revenue target (2025)</t>
  </si>
  <si>
    <t xml:space="preserve">$2 billion</t>
  </si>
  <si>
    <t xml:space="preserve">Source: Forbes Dec 2024</t>
  </si>
  <si>
    <t xml:space="preserve">Human data cost vs compute</t>
  </si>
  <si>
    <t xml:space="preserve">3.1x higher</t>
  </si>
  <si>
    <t xml:space="preserve">Epoch AI research; human data is the bottleneck</t>
  </si>
  <si>
    <t xml:space="preserve">AI annotation costs as % of dev budget</t>
  </si>
  <si>
    <t xml:space="preserve">Up to 80%</t>
  </si>
  <si>
    <t xml:space="preserve">Industry average for annotation-heavy projects</t>
  </si>
  <si>
    <t xml:space="preserve">Database</t>
  </si>
  <si>
    <t xml:space="preserve">Domain</t>
  </si>
  <si>
    <t xml:space="preserve">Queries</t>
  </si>
  <si>
    <t xml:space="preserve">Has purpose</t>
  </si>
  <si>
    <t xml:space="preserve">Has use_case</t>
  </si>
  <si>
    <t xml:space="preserve">Has business_value</t>
  </si>
  <si>
    <t xml:space="preserve">Has evidence</t>
  </si>
  <si>
    <t xml:space="preserve">Has difficulty</t>
  </si>
  <si>
    <t xml:space="preserve">Has schema_context</t>
  </si>
  <si>
    <t xml:space="preserve">Truncated Descriptions</t>
  </si>
  <si>
    <t xml:space="preserve">BIRD-Compatible</t>
  </si>
  <si>
    <t xml:space="preserve">db-1</t>
  </si>
  <si>
    <t xml:space="preserve">Healthcare/Hospital</t>
  </si>
  <si>
    <t xml:space="preserve">As complexity</t>
  </si>
  <si>
    <t xml:space="preserve">Partial</t>
  </si>
  <si>
    <t xml:space="preserve">Well-formed; missing evidence + schema_context</t>
  </si>
  <si>
    <t xml:space="preserve">db-2</t>
  </si>
  <si>
    <t xml:space="preserve">Filling Station Retail</t>
  </si>
  <si>
    <t xml:space="preserve">db-3</t>
  </si>
  <si>
    <t xml:space="preserve">Retail Analytics</t>
  </si>
  <si>
    <t xml:space="preserve">db-4</t>
  </si>
  <si>
    <t xml:space="preserve">Food Service</t>
  </si>
  <si>
    <t xml:space="preserve">db-5</t>
  </si>
  <si>
    <t xml:space="preserve">Insurance</t>
  </si>
  <si>
    <t xml:space="preserve">db-6</t>
  </si>
  <si>
    <t xml:space="preserve">Weather/Insurance</t>
  </si>
  <si>
    <t xml:space="preserve">BROKEN: 1 query, different JSON structure</t>
  </si>
  <si>
    <t xml:space="preserve">db-7</t>
  </si>
  <si>
    <t xml:space="preserve">University Education</t>
  </si>
  <si>
    <t xml:space="preserve">Yes (100%)</t>
  </si>
  <si>
    <t xml:space="preserve">Missing biz fields; ALL descriptions truncated</t>
  </si>
  <si>
    <t xml:space="preserve">db-8</t>
  </si>
  <si>
    <t xml:space="preserve">E-commerce</t>
  </si>
  <si>
    <t xml:space="preserve">db-9</t>
  </si>
  <si>
    <t xml:space="preserve">Real Estate</t>
  </si>
  <si>
    <t xml:space="preserve">db-10</t>
  </si>
  <si>
    <t xml:space="preserve">Sports Analytics</t>
  </si>
  <si>
    <t xml:space="preserve">Missing biz fields; some truncation</t>
  </si>
  <si>
    <t xml:space="preserve">db-11</t>
  </si>
  <si>
    <t xml:space="preserve">Music/Entertainment</t>
  </si>
  <si>
    <t xml:space="preserve">Yes (97%)</t>
  </si>
  <si>
    <t xml:space="preserve">Missing biz fields; heavy truncation</t>
  </si>
  <si>
    <t xml:space="preserve">db-12</t>
  </si>
  <si>
    <t xml:space="preserve">Aviation/Transport</t>
  </si>
  <si>
    <t xml:space="preserve">db-13</t>
  </si>
  <si>
    <t xml:space="preserve">Healthcare/Research</t>
  </si>
  <si>
    <t xml:space="preserve">db-14</t>
  </si>
  <si>
    <t xml:space="preserve">Supply Chain</t>
  </si>
  <si>
    <t xml:space="preserve">db-15</t>
  </si>
  <si>
    <t xml:space="preserve">Financial Services</t>
  </si>
  <si>
    <t xml:space="preserve">db-16</t>
  </si>
  <si>
    <t xml:space="preserve">Energy/Utilities</t>
  </si>
  <si>
    <t xml:space="preserve">TOTALS</t>
  </si>
  <si>
    <t xml:space="preserve">Count of "Yes" values per field</t>
  </si>
  <si>
    <t xml:space="preserve">% Coverage</t>
  </si>
  <si>
    <t xml:space="preserve">Fair Market Value Analysis</t>
  </si>
  <si>
    <t xml:space="preserve">Pricing Model</t>
  </si>
  <si>
    <t xml:space="preserve">Per Database</t>
  </si>
  <si>
    <t xml:space="preserve">Per Query Pair</t>
  </si>
  <si>
    <t xml:space="preserve">AQ Contract Price</t>
  </si>
  <si>
    <t xml:space="preserve">AQ contract terms</t>
  </si>
  <si>
    <t xml:space="preserve">BIRD Implied (crowdsource labor)</t>
  </si>
  <si>
    <t xml:space="preserve">BIRD paper: ~$7.50/pair at $15/hr x 0.5hr</t>
  </si>
  <si>
    <t xml:space="preserve">Spider 2.0 Implied (expert labor)</t>
  </si>
  <si>
    <t xml:space="preserve">Spider paper: ~$225/pair at $75/hr x 3hr</t>
  </si>
  <si>
    <t xml:space="preserve">Industry Crowdsource (domain expert)</t>
  </si>
  <si>
    <t xml:space="preserve">BasicAI, Scale AI market data 2025</t>
  </si>
  <si>
    <t xml:space="preserve">Industry Expert Annotation</t>
  </si>
  <si>
    <t xml:space="preserve">Mercor, Surge AI rates 2025</t>
  </si>
  <si>
    <t xml:space="preserve">AI Training: Coding/SQL Floor ($40/hr)</t>
  </si>
  <si>
    <t xml:space="preserve">DataAnnotation.tech coding minimum 2025</t>
  </si>
  <si>
    <t xml:space="preserve">AI Training: Expert RLHF Mid ($70/hr)</t>
  </si>
  <si>
    <t xml:space="preserve">RLHF expert midpoint (Remotech, Upwork 2025)</t>
  </si>
  <si>
    <t xml:space="preserve">AI Training: Sr Domain Expert ($81/hr)</t>
  </si>
  <si>
    <t xml:space="preserve">Mercor avg for 4+ yr professionals 2025</t>
  </si>
  <si>
    <t xml:space="preserve">AI Training: Top Expert ($200/hr)</t>
  </si>
  <si>
    <t xml:space="preserve">Mercor ceiling for senior domain experts</t>
  </si>
  <si>
    <t xml:space="preserve">AQ Scope at Staffing Rate ($100/hr)</t>
  </si>
  <si>
    <t xml:space="preserve">AQ scope: source + query + document</t>
  </si>
  <si>
    <t xml:space="preserve">AQ Scope at Consulting Rate ($475/hr)</t>
  </si>
  <si>
    <t xml:space="preserve">Betty C Tai minimum consulting rate</t>
  </si>
  <si>
    <t xml:space="preserve">DISCOUNT ANALYSIS vs AQ Contract</t>
  </si>
  <si>
    <t xml:space="preserve">Comparison</t>
  </si>
  <si>
    <t xml:space="preserve">Fair Value/DB</t>
  </si>
  <si>
    <t xml:space="preserve">AQ Pays/DB</t>
  </si>
  <si>
    <t xml:space="preserve">Discount %</t>
  </si>
  <si>
    <t xml:space="preserve">vs BIRD (crowdsource)</t>
  </si>
  <si>
    <t xml:space="preserve">vs Spider 2.0 (expert)</t>
  </si>
  <si>
    <t xml:space="preserve">vs Industry Crowdsource</t>
  </si>
  <si>
    <t xml:space="preserve">vs Industry Expert</t>
  </si>
  <si>
    <t xml:space="preserve">vs AI Training: Coding/SQL Floor</t>
  </si>
  <si>
    <t xml:space="preserve">vs AI Training: RLHF Expert Mid</t>
  </si>
  <si>
    <t xml:space="preserve">vs AI Training: Sr Domain Expert</t>
  </si>
  <si>
    <t xml:space="preserve">vs AI Training: Top Expert ($200/hr)</t>
  </si>
  <si>
    <t xml:space="preserve">vs Staffing Rate ($100/hr)</t>
  </si>
  <si>
    <t xml:space="preserve">vs Consulting Rate ($475/hr)</t>
  </si>
  <si>
    <t xml:space="preserve">FULL PROGRAM VALUE (100 DBs)</t>
  </si>
  <si>
    <t xml:space="preserve">AQ Contract Total</t>
  </si>
  <si>
    <t xml:space="preserve">What AQ is paying</t>
  </si>
  <si>
    <t xml:space="preserve">Fair Value at AI Coding Floor ($40/hr)</t>
  </si>
  <si>
    <t xml:space="preserve">$40/hr x 2.8hr/query x 30 queries x 100 DBs</t>
  </si>
  <si>
    <t xml:space="preserve">Fair Value at RLHF Expert Mid ($70/hr)</t>
  </si>
  <si>
    <t xml:space="preserve">$70/hr x 2.8hr/query x 30 queries x 100 DBs</t>
  </si>
  <si>
    <t xml:space="preserve">Fair Value at Sr Domain Expert ($81/hr)</t>
  </si>
  <si>
    <t xml:space="preserve">$81/hr x 2.8hr/query x 30 queries x 100 DBs</t>
  </si>
  <si>
    <t xml:space="preserve">Fair Value at Top Expert ($200/hr)</t>
  </si>
  <si>
    <t xml:space="preserve">$200/hr x 2.8hr/query x 30 queries x 100 DBs</t>
  </si>
  <si>
    <t xml:space="preserve">Fair Value at Staffing Rate ($100/hr)</t>
  </si>
  <si>
    <t xml:space="preserve">$100/hr x 2.8hr/query x 30 queries x 100 DBs</t>
  </si>
  <si>
    <t xml:space="preserve">Fair Value at Consulting Rate ($475/hr)</t>
  </si>
  <si>
    <t xml:space="preserve">$475/hr x 2.8hr/query x 30 queries x 100 DBs</t>
  </si>
  <si>
    <t xml:space="preserve">Underpayment at AI Coding Floor</t>
  </si>
  <si>
    <t xml:space="preserve">Even entry-level coding annotation exceeds AQ price</t>
  </si>
  <si>
    <t xml:space="preserve">Underpayment at RLHF Expert Mid</t>
  </si>
  <si>
    <t xml:space="preserve">Standard RLHF expert rate</t>
  </si>
  <si>
    <t xml:space="preserve">Underpayment at Sr Domain Expert</t>
  </si>
  <si>
    <t xml:space="preserve">Mercor avg for experienced professionals</t>
  </si>
  <si>
    <t xml:space="preserve">Underpayment at Top Expert</t>
  </si>
  <si>
    <t xml:space="preserve">Mercor ceiling rate</t>
  </si>
  <si>
    <t xml:space="preserve">Underpayment at Staffing Rate</t>
  </si>
  <si>
    <t xml:space="preserve">Basic staffing rate</t>
  </si>
  <si>
    <t xml:space="preserve">Underpayment at Consulting Rate</t>
  </si>
  <si>
    <t xml:space="preserve">DB LICENSING COST ANALYSIS</t>
  </si>
  <si>
    <t xml:space="preserve">Database ACV (license/access cost)</t>
  </si>
  <si>
    <t xml:space="preserve">AQ total payment per DB</t>
  </si>
  <si>
    <t xml:space="preserve">Covers DB access + expert labor combined</t>
  </si>
  <si>
    <t xml:space="preserve">Implied value of expert labor</t>
  </si>
  <si>
    <t xml:space="preserve">If DB access = $1K-$2K, labor valued at ~$0</t>
  </si>
  <si>
    <t xml:space="preserve">Bottom line: AQ is paying the cost of raw database access alone.</t>
  </si>
  <si>
    <t xml:space="preserve">The expert labor (sourcing, SQL authoring, documentation) is effectively free.</t>
  </si>
  <si>
    <t xml:space="preserve">PROPOSED RATE: $2,000 FOR SQL QUERIES ONLY</t>
  </si>
  <si>
    <t xml:space="preserve">Component</t>
  </si>
  <si>
    <t xml:space="preserve">Current (AQ)</t>
  </si>
  <si>
    <t xml:space="preserve">Proposed</t>
  </si>
  <si>
    <t xml:space="preserve">DB sourcing &amp; licensing</t>
  </si>
  <si>
    <t xml:space="preserve">$1,000-$2,000</t>
  </si>
  <si>
    <t xml:space="preserve">Unchanged — raw DB access cost</t>
  </si>
  <si>
    <t xml:space="preserve">SQL query authoring (30 queries)</t>
  </si>
  <si>
    <t xml:space="preserve">Included in $2K</t>
  </si>
  <si>
    <t xml:space="preserve">Betty ask: $2K for SQL work alone</t>
  </si>
  <si>
    <t xml:space="preserve">Documentation &amp; metadata</t>
  </si>
  <si>
    <t xml:space="preserve">Additional scope beyond SQL queries</t>
  </si>
  <si>
    <t xml:space="preserve">AQ current total per DB</t>
  </si>
  <si>
    <t xml:space="preserve">Covers ALL of the above</t>
  </si>
  <si>
    <t xml:space="preserve">Proposed total per DB (minimum)</t>
  </si>
  <si>
    <t xml:space="preserve">$3,000-$4,000</t>
  </si>
  <si>
    <t xml:space="preserve">DB cost + $2K SQL (excl. docs)</t>
  </si>
  <si>
    <t xml:space="preserve">$2K/30 queries = $66.67/query pair</t>
  </si>
  <si>
    <t xml:space="preserve">Still below $40/hr coding annotation floor</t>
  </si>
  <si>
    <t xml:space="preserve">Even at $2K for SQL only, rate is conservative vs market.</t>
  </si>
  <si>
    <t xml:space="preserve">What AQ Pays Betty (per DB)</t>
  </si>
  <si>
    <t xml:space="preserve">$24/hr implied; below entry-level annotation</t>
  </si>
  <si>
    <t xml:space="preserve">WHAT AQ SHOULD CHARGE CLIENT (per DB)</t>
  </si>
  <si>
    <t xml:space="preserve">At per-annotation market rate ($100 x 30)</t>
  </si>
  <si>
    <t xml:space="preserve">SkyRL-SQL: $100/annotation (ByteDance 2025)</t>
  </si>
  <si>
    <t xml:space="preserve">At RLHF managed-service rate ($100 x 30)</t>
  </si>
  <si>
    <t xml:space="preserve">Scale AI, Surge AI per-example pricing</t>
  </si>
  <si>
    <t xml:space="preserve">At 2x staffing markup on $2K</t>
  </si>
  <si>
    <t xml:space="preserve">Standard technical staffing industry markup</t>
  </si>
  <si>
    <t xml:space="preserve">At 3x managed-services markup on $2K</t>
  </si>
  <si>
    <t xml:space="preserve">Typical for managed annotation services</t>
  </si>
  <si>
    <t xml:space="preserve">At custom dataset pricing floor</t>
  </si>
  <si>
    <t xml:space="preserve">$10,000</t>
  </si>
  <si>
    <t xml:space="preserve">Appen/Lionbridge custom dataset minimum</t>
  </si>
  <si>
    <t xml:space="preserve">At Scale AI minimum contract</t>
  </si>
  <si>
    <t xml:space="preserve">$50,000</t>
  </si>
  <si>
    <t xml:space="preserve">Scale AI enterprise floor (annual)</t>
  </si>
  <si>
    <t xml:space="preserve">AQ MARGIN ANALYSIS (per DB)</t>
  </si>
  <si>
    <t xml:space="preserve">AQ Pays</t>
  </si>
  <si>
    <t xml:space="preserve">AQ Charges</t>
  </si>
  <si>
    <t xml:space="preserve">AQ Gross Margin</t>
  </si>
  <si>
    <t xml:space="preserve">Conservative ($3K client price)</t>
  </si>
  <si>
    <t xml:space="preserve">Standard markup ($4K)</t>
  </si>
  <si>
    <t xml:space="preserve">Managed-services ($6K)</t>
  </si>
  <si>
    <t xml:space="preserve">Custom dataset ($10K)</t>
  </si>
  <si>
    <t xml:space="preserve">Enterprise contract ($50K)</t>
  </si>
  <si>
    <t xml:space="preserve">FULL PROGRAM VALUE CHAIN (100 DBs)</t>
  </si>
  <si>
    <t xml:space="preserve">AQ pays Betty (100 DBs)</t>
  </si>
  <si>
    <t xml:space="preserve">$200,000</t>
  </si>
  <si>
    <t xml:space="preserve">$24/hr; below entry-level annotation floor</t>
  </si>
  <si>
    <t xml:space="preserve">AQ charges client at $3K/DB</t>
  </si>
  <si>
    <t xml:space="preserve">$300,000</t>
  </si>
  <si>
    <t xml:space="preserve">$100,000</t>
  </si>
  <si>
    <t xml:space="preserve">33% gross margin; conservative</t>
  </si>
  <si>
    <t xml:space="preserve">AQ charges client at $6K/DB</t>
  </si>
  <si>
    <t xml:space="preserve">$600,000</t>
  </si>
  <si>
    <t xml:space="preserve">$400,000</t>
  </si>
  <si>
    <t xml:space="preserve">67% gross margin; managed-services norm</t>
  </si>
  <si>
    <t xml:space="preserve">AQ charges client at $10K/DB</t>
  </si>
  <si>
    <t xml:space="preserve">$1,000,000</t>
  </si>
  <si>
    <t xml:space="preserve">$800,000</t>
  </si>
  <si>
    <t xml:space="preserve">80% gross margin; custom dataset pricing</t>
  </si>
  <si>
    <t xml:space="preserve">AQ charges client at $50K/DB</t>
  </si>
  <si>
    <t xml:space="preserve">$5,000,000</t>
  </si>
  <si>
    <t xml:space="preserve">$4,800,000</t>
  </si>
  <si>
    <t xml:space="preserve">96% gross margin; enterprise contract</t>
  </si>
  <si>
    <t xml:space="preserve">KEY INSIGHT: AQ captures 33-96% gross margin by paying Betty below market.</t>
  </si>
  <si>
    <t xml:space="preserve">If AQ paid fair market ($40-$81/hr), margin compresses but remains healthy.</t>
  </si>
  <si>
    <t xml:space="preserve">At $81/hr (Sr Expert), Betty cost = $6,804/DB. At $10K client price = 32% margin.</t>
  </si>
  <si>
    <t xml:space="preserve">AQ is subsidizing its margin by underpaying the annotation expert.</t>
  </si>
  <si>
    <t xml:space="preserve">$2.32B</t>
  </si>
  <si>
    <t xml:space="preserve">Grand View Research</t>
  </si>
  <si>
    <t xml:space="preserve">Data annotation market (2030 proj.)</t>
  </si>
  <si>
    <t xml:space="preserve">$9.78B</t>
  </si>
  <si>
    <t xml:space="preserve">27.1% CAGR; 4.2x growth in 5 years</t>
  </si>
  <si>
    <t xml:space="preserve">$870M</t>
  </si>
  <si>
    <t xml:space="preserve">Doubled from prior year</t>
  </si>
  <si>
    <t xml:space="preserve">$2B</t>
  </si>
  <si>
    <t xml:space="preserve">Forbes Dec 2024</t>
  </si>
  <si>
    <t xml:space="preserve">Epoch AI; human data is the cost bottleneck</t>
  </si>
  <si>
    <t xml:space="preserve">Annotation as % of AI dev budget</t>
  </si>
  <si>
    <t xml:space="preserve">Industry benchmarks; largest single cost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</si>
</sst>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\$#,##0;&quot;($&quot;#,##0\);\-"/>
    <numFmt numFmtId="167" formatCode="0.0%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6E4F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E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8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/>
      <c r="C2" s="3"/>
      <c r="D2" s="3"/>
      <c r="E2" s="3"/>
    </row>
    <row r="3" customFormat="false" ht="15" hidden="false" customHeight="false" outlineLevel="0" collapsed="false">
      <c r="A3" s="4" t="s">
        <v>6</v>
      </c>
      <c r="B3" s="4" t="n">
        <v>95</v>
      </c>
      <c r="C3" s="4" t="n">
        <v>213</v>
      </c>
      <c r="D3" s="4" t="n">
        <v>100</v>
      </c>
      <c r="E3" s="4" t="s">
        <v>7</v>
      </c>
    </row>
    <row r="4" customFormat="false" ht="15" hidden="false" customHeight="false" outlineLevel="0" collapsed="false">
      <c r="A4" s="4" t="s">
        <v>8</v>
      </c>
      <c r="B4" s="4" t="n">
        <v>12751</v>
      </c>
      <c r="C4" s="4" t="n">
        <v>632</v>
      </c>
      <c r="D4" s="4" t="n">
        <v>3000</v>
      </c>
      <c r="E4" s="4" t="s">
        <v>9</v>
      </c>
    </row>
    <row r="5" customFormat="false" ht="15" hidden="false" customHeight="false" outlineLevel="0" collapsed="false">
      <c r="A5" s="4" t="s">
        <v>10</v>
      </c>
      <c r="B5" s="5" t="n">
        <f aca="false">B4/B3</f>
        <v>134.221052631579</v>
      </c>
      <c r="C5" s="5" t="n">
        <f aca="false">C4/C3</f>
        <v>2.96713615023474</v>
      </c>
      <c r="D5" s="4" t="n">
        <v>30</v>
      </c>
      <c r="E5" s="4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customFormat="false" ht="15" hidden="false" customHeight="false" outlineLevel="0" collapsed="false">
      <c r="A7" s="4" t="s">
        <v>17</v>
      </c>
      <c r="B7" s="4" t="n">
        <v>37</v>
      </c>
      <c r="C7" s="4" t="s">
        <v>18</v>
      </c>
      <c r="D7" s="4" t="s">
        <v>19</v>
      </c>
      <c r="E7" s="4" t="s">
        <v>20</v>
      </c>
    </row>
    <row r="8" customFormat="false" ht="15" hidden="false" customHeight="fals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</row>
    <row r="9" customFormat="false" ht="15" hidden="false" customHeight="false" outlineLevel="0" collapsed="false">
      <c r="A9" s="2" t="s">
        <v>26</v>
      </c>
      <c r="B9" s="3"/>
      <c r="C9" s="3"/>
      <c r="D9" s="3"/>
      <c r="E9" s="3"/>
    </row>
    <row r="10" customFormat="false" ht="15" hidden="false" customHeight="false" outlineLevel="0" collapsed="false">
      <c r="A10" s="4" t="s">
        <v>27</v>
      </c>
      <c r="B10" s="4" t="s">
        <v>28</v>
      </c>
      <c r="C10" s="4" t="s">
        <v>29</v>
      </c>
      <c r="D10" s="4" t="s">
        <v>30</v>
      </c>
      <c r="E10" s="4" t="s">
        <v>31</v>
      </c>
    </row>
    <row r="11" customFormat="false" ht="15" hidden="false" customHeight="false" outlineLevel="0" collapsed="false">
      <c r="A11" s="4" t="s">
        <v>32</v>
      </c>
      <c r="B11" s="4" t="s">
        <v>33</v>
      </c>
      <c r="C11" s="4" t="s">
        <v>34</v>
      </c>
      <c r="D11" s="4" t="s">
        <v>30</v>
      </c>
      <c r="E11" s="4" t="s">
        <v>35</v>
      </c>
    </row>
    <row r="12" customFormat="false" ht="15" hidden="false" customHeight="false" outlineLevel="0" collapsed="false">
      <c r="A12" s="4" t="s">
        <v>36</v>
      </c>
      <c r="B12" s="4" t="s">
        <v>37</v>
      </c>
      <c r="C12" s="4" t="s">
        <v>34</v>
      </c>
      <c r="D12" s="4" t="s">
        <v>30</v>
      </c>
      <c r="E12" s="4" t="s">
        <v>38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4" t="s">
        <v>41</v>
      </c>
      <c r="D13" s="4" t="s">
        <v>30</v>
      </c>
      <c r="E13" s="4" t="s">
        <v>42</v>
      </c>
    </row>
    <row r="14" customFormat="false" ht="15" hidden="false" customHeight="false" outlineLevel="0" collapsed="false">
      <c r="A14" s="4" t="s">
        <v>43</v>
      </c>
      <c r="B14" s="4" t="s">
        <v>44</v>
      </c>
      <c r="C14" s="4" t="s">
        <v>45</v>
      </c>
      <c r="D14" s="4" t="s">
        <v>30</v>
      </c>
      <c r="E14" s="4" t="s">
        <v>46</v>
      </c>
    </row>
    <row r="15" customFormat="false" ht="15" hidden="false" customHeight="false" outlineLevel="0" collapsed="false">
      <c r="A15" s="4" t="s">
        <v>47</v>
      </c>
      <c r="B15" s="4" t="s">
        <v>48</v>
      </c>
      <c r="C15" s="4" t="s">
        <v>49</v>
      </c>
      <c r="D15" s="4" t="s">
        <v>50</v>
      </c>
      <c r="E15" s="4" t="s">
        <v>51</v>
      </c>
    </row>
    <row r="16" customFormat="false" ht="15" hidden="false" customHeight="false" outlineLevel="0" collapsed="false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</row>
    <row r="17" customFormat="false" ht="15" hidden="false" customHeight="false" outlineLevel="0" collapsed="false">
      <c r="A17" s="4" t="s">
        <v>57</v>
      </c>
      <c r="B17" s="4" t="s">
        <v>58</v>
      </c>
      <c r="C17" s="4" t="s">
        <v>59</v>
      </c>
      <c r="D17" s="4" t="s">
        <v>60</v>
      </c>
      <c r="E17" s="4" t="s">
        <v>61</v>
      </c>
    </row>
    <row r="18" customFormat="false" ht="15" hidden="false" customHeight="false" outlineLevel="0" collapsed="false">
      <c r="A18" s="2" t="s">
        <v>62</v>
      </c>
      <c r="B18" s="3"/>
      <c r="C18" s="3"/>
      <c r="D18" s="3"/>
      <c r="E18" s="3"/>
    </row>
    <row r="19" customFormat="false" ht="15" hidden="false" customHeight="false" outlineLevel="0" collapsed="false">
      <c r="A19" s="4" t="s">
        <v>63</v>
      </c>
      <c r="B19" s="4" t="s">
        <v>64</v>
      </c>
      <c r="C19" s="4" t="s">
        <v>64</v>
      </c>
      <c r="D19" s="6" t="s">
        <v>65</v>
      </c>
      <c r="E19" s="4"/>
    </row>
    <row r="20" customFormat="false" ht="15" hidden="false" customHeight="false" outlineLevel="0" collapsed="false">
      <c r="A20" s="4" t="s">
        <v>66</v>
      </c>
      <c r="B20" s="4" t="s">
        <v>64</v>
      </c>
      <c r="C20" s="4" t="s">
        <v>67</v>
      </c>
      <c r="D20" s="6" t="s">
        <v>64</v>
      </c>
      <c r="E20" s="4" t="s">
        <v>68</v>
      </c>
    </row>
    <row r="21" customFormat="false" ht="15" hidden="false" customHeight="false" outlineLevel="0" collapsed="false">
      <c r="A21" s="4" t="s">
        <v>69</v>
      </c>
      <c r="B21" s="4" t="s">
        <v>70</v>
      </c>
      <c r="C21" s="4" t="s">
        <v>71</v>
      </c>
      <c r="D21" s="7" t="s">
        <v>72</v>
      </c>
      <c r="E21" s="4" t="s">
        <v>73</v>
      </c>
    </row>
    <row r="22" customFormat="false" ht="23.85" hidden="false" customHeight="false" outlineLevel="0" collapsed="false">
      <c r="A22" s="4" t="s">
        <v>74</v>
      </c>
      <c r="B22" s="4" t="s">
        <v>75</v>
      </c>
      <c r="C22" s="4" t="s">
        <v>76</v>
      </c>
      <c r="D22" s="4" t="s">
        <v>77</v>
      </c>
      <c r="E22" s="4" t="s">
        <v>78</v>
      </c>
    </row>
    <row r="23" customFormat="false" ht="15" hidden="false" customHeight="false" outlineLevel="0" collapsed="false">
      <c r="A23" s="4" t="s">
        <v>79</v>
      </c>
      <c r="B23" s="4" t="s">
        <v>80</v>
      </c>
      <c r="C23" s="4" t="s">
        <v>81</v>
      </c>
      <c r="D23" s="4" t="s">
        <v>82</v>
      </c>
      <c r="E23" s="4" t="s">
        <v>83</v>
      </c>
    </row>
    <row r="24" customFormat="false" ht="23.85" hidden="false" customHeight="false" outlineLevel="0" collapsed="false">
      <c r="A24" s="4" t="s">
        <v>84</v>
      </c>
      <c r="B24" s="4" t="s">
        <v>85</v>
      </c>
      <c r="C24" s="4" t="s">
        <v>86</v>
      </c>
      <c r="D24" s="7" t="s">
        <v>87</v>
      </c>
      <c r="E24" s="4" t="s">
        <v>88</v>
      </c>
    </row>
    <row r="25" customFormat="false" ht="15" hidden="false" customHeight="false" outlineLevel="0" collapsed="false">
      <c r="A25" s="4" t="s">
        <v>89</v>
      </c>
      <c r="B25" s="4" t="s">
        <v>90</v>
      </c>
      <c r="C25" s="4" t="s">
        <v>90</v>
      </c>
      <c r="D25" s="6" t="s">
        <v>64</v>
      </c>
      <c r="E25" s="4" t="s">
        <v>91</v>
      </c>
    </row>
    <row r="26" customFormat="false" ht="15" hidden="false" customHeight="false" outlineLevel="0" collapsed="false">
      <c r="A26" s="4" t="s">
        <v>92</v>
      </c>
      <c r="B26" s="4" t="s">
        <v>93</v>
      </c>
      <c r="C26" s="4" t="s">
        <v>94</v>
      </c>
      <c r="D26" s="7" t="s">
        <v>87</v>
      </c>
      <c r="E26" s="4" t="s">
        <v>95</v>
      </c>
    </row>
    <row r="27" customFormat="false" ht="15" hidden="false" customHeight="false" outlineLevel="0" collapsed="false">
      <c r="A27" s="4" t="s">
        <v>96</v>
      </c>
      <c r="B27" s="4" t="s">
        <v>97</v>
      </c>
      <c r="C27" s="4" t="s">
        <v>97</v>
      </c>
      <c r="D27" s="6" t="s">
        <v>98</v>
      </c>
      <c r="E27" s="4" t="s">
        <v>99</v>
      </c>
    </row>
    <row r="28" customFormat="false" ht="15" hidden="false" customHeight="false" outlineLevel="0" collapsed="false">
      <c r="A28" s="4" t="s">
        <v>100</v>
      </c>
      <c r="B28" s="4" t="s">
        <v>101</v>
      </c>
      <c r="C28" s="4" t="s">
        <v>101</v>
      </c>
      <c r="D28" s="4" t="s">
        <v>82</v>
      </c>
      <c r="E28" s="4" t="s">
        <v>102</v>
      </c>
    </row>
    <row r="29" customFormat="false" ht="15" hidden="false" customHeight="false" outlineLevel="0" collapsed="false">
      <c r="A29" s="2" t="s">
        <v>103</v>
      </c>
      <c r="B29" s="3"/>
      <c r="C29" s="3"/>
      <c r="D29" s="3"/>
      <c r="E29" s="3"/>
    </row>
    <row r="30" customFormat="false" ht="15" hidden="false" customHeight="false" outlineLevel="0" collapsed="false">
      <c r="A30" s="4" t="s">
        <v>104</v>
      </c>
      <c r="B30" s="4" t="s">
        <v>105</v>
      </c>
      <c r="C30" s="4" t="s">
        <v>106</v>
      </c>
      <c r="D30" s="4" t="s">
        <v>107</v>
      </c>
      <c r="E30" s="4"/>
    </row>
    <row r="31" customFormat="false" ht="15" hidden="false" customHeight="false" outlineLevel="0" collapsed="false">
      <c r="A31" s="4" t="s">
        <v>108</v>
      </c>
      <c r="B31" s="8" t="n">
        <v>15</v>
      </c>
      <c r="C31" s="8" t="n">
        <v>75</v>
      </c>
      <c r="D31" s="8" t="n">
        <v>475</v>
      </c>
      <c r="E31" s="4" t="s">
        <v>109</v>
      </c>
    </row>
    <row r="32" customFormat="false" ht="15" hidden="false" customHeight="false" outlineLevel="0" collapsed="false">
      <c r="A32" s="4" t="s">
        <v>110</v>
      </c>
      <c r="B32" s="9" t="n">
        <v>0.5</v>
      </c>
      <c r="C32" s="9" t="n">
        <v>3</v>
      </c>
      <c r="D32" s="9" t="n">
        <v>2.8</v>
      </c>
      <c r="E32" s="4" t="s">
        <v>111</v>
      </c>
    </row>
    <row r="33" customFormat="false" ht="15" hidden="false" customHeight="false" outlineLevel="0" collapsed="false">
      <c r="A33" s="4" t="s">
        <v>112</v>
      </c>
      <c r="B33" s="10" t="n">
        <f aca="false">B31*B32</f>
        <v>7.5</v>
      </c>
      <c r="C33" s="10" t="n">
        <f aca="false">C31*C32</f>
        <v>225</v>
      </c>
      <c r="D33" s="10" t="n">
        <f aca="false">D31*D32</f>
        <v>1330</v>
      </c>
      <c r="E33" s="4" t="s">
        <v>113</v>
      </c>
    </row>
    <row r="34" customFormat="false" ht="15" hidden="false" customHeight="false" outlineLevel="0" collapsed="false">
      <c r="A34" s="4" t="s">
        <v>8</v>
      </c>
      <c r="B34" s="4" t="n">
        <v>12751</v>
      </c>
      <c r="C34" s="4" t="n">
        <v>632</v>
      </c>
      <c r="D34" s="4" t="n">
        <v>3000</v>
      </c>
      <c r="E34" s="4"/>
    </row>
    <row r="35" customFormat="false" ht="15" hidden="false" customHeight="false" outlineLevel="0" collapsed="false">
      <c r="A35" s="4" t="s">
        <v>114</v>
      </c>
      <c r="B35" s="10" t="n">
        <f aca="false">B33*B34</f>
        <v>95632.5</v>
      </c>
      <c r="C35" s="10" t="n">
        <f aca="false">C33*C34</f>
        <v>142200</v>
      </c>
      <c r="D35" s="10" t="n">
        <f aca="false">D33*D34</f>
        <v>3990000</v>
      </c>
      <c r="E35" s="4" t="s">
        <v>115</v>
      </c>
    </row>
    <row r="36" customFormat="false" ht="15" hidden="false" customHeight="false" outlineLevel="0" collapsed="false">
      <c r="A36" s="4" t="s">
        <v>116</v>
      </c>
      <c r="B36" s="4" t="s">
        <v>117</v>
      </c>
      <c r="C36" s="4" t="s">
        <v>117</v>
      </c>
      <c r="D36" s="10" t="n">
        <f aca="false">D37/30</f>
        <v>66.6666666666667</v>
      </c>
      <c r="E36" s="4" t="s">
        <v>118</v>
      </c>
    </row>
    <row r="37" customFormat="false" ht="15" hidden="false" customHeight="false" outlineLevel="0" collapsed="false">
      <c r="A37" s="4" t="s">
        <v>119</v>
      </c>
      <c r="B37" s="10" t="s">
        <v>117</v>
      </c>
      <c r="C37" s="10" t="s">
        <v>117</v>
      </c>
      <c r="D37" s="8" t="n">
        <v>2000</v>
      </c>
      <c r="E37" s="4" t="s">
        <v>120</v>
      </c>
    </row>
    <row r="38" customFormat="false" ht="15" hidden="false" customHeight="false" outlineLevel="0" collapsed="false">
      <c r="A38" s="4" t="s">
        <v>121</v>
      </c>
      <c r="B38" s="4" t="s">
        <v>122</v>
      </c>
      <c r="C38" s="4" t="s">
        <v>122</v>
      </c>
      <c r="D38" s="10" t="n">
        <f aca="false">D37*100</f>
        <v>200000</v>
      </c>
      <c r="E38" s="4" t="s">
        <v>123</v>
      </c>
    </row>
    <row r="39" customFormat="false" ht="15" hidden="false" customHeight="false" outlineLevel="0" collapsed="false">
      <c r="A39" s="4" t="s">
        <v>124</v>
      </c>
      <c r="B39" s="4" t="s">
        <v>122</v>
      </c>
      <c r="C39" s="4" t="s">
        <v>122</v>
      </c>
      <c r="D39" s="11" t="n">
        <f aca="false">D36/D32</f>
        <v>23.8095238095238</v>
      </c>
      <c r="E39" s="4" t="s">
        <v>125</v>
      </c>
    </row>
    <row r="40" customFormat="false" ht="15" hidden="false" customHeight="false" outlineLevel="0" collapsed="false">
      <c r="A40" s="4" t="s">
        <v>126</v>
      </c>
      <c r="B40" s="4" t="s">
        <v>122</v>
      </c>
      <c r="C40" s="4" t="s">
        <v>122</v>
      </c>
      <c r="D40" s="12" t="n">
        <f aca="false">1-(D39/D31)</f>
        <v>0.949874686716792</v>
      </c>
      <c r="E40" s="4" t="s">
        <v>127</v>
      </c>
    </row>
    <row r="41" customFormat="false" ht="15" hidden="false" customHeight="false" outlineLevel="0" collapsed="false">
      <c r="A41" s="2" t="s">
        <v>128</v>
      </c>
      <c r="B41" s="3"/>
      <c r="C41" s="3"/>
      <c r="D41" s="3"/>
      <c r="E41" s="3"/>
    </row>
    <row r="42" customFormat="false" ht="15" hidden="false" customHeight="false" outlineLevel="0" collapsed="false">
      <c r="A42" s="4" t="s">
        <v>57</v>
      </c>
      <c r="B42" s="4" t="s">
        <v>129</v>
      </c>
      <c r="C42" s="4" t="s">
        <v>129</v>
      </c>
      <c r="D42" s="4" t="s">
        <v>130</v>
      </c>
      <c r="E42" s="4" t="s">
        <v>131</v>
      </c>
    </row>
    <row r="43" customFormat="false" ht="15" hidden="false" customHeight="false" outlineLevel="0" collapsed="false">
      <c r="A43" s="4" t="s">
        <v>132</v>
      </c>
      <c r="B43" s="4" t="s">
        <v>133</v>
      </c>
      <c r="C43" s="4" t="s">
        <v>134</v>
      </c>
      <c r="D43" s="4" t="s">
        <v>130</v>
      </c>
      <c r="E43" s="4" t="s">
        <v>135</v>
      </c>
    </row>
    <row r="44" customFormat="false" ht="15" hidden="false" customHeight="false" outlineLevel="0" collapsed="false">
      <c r="A44" s="4" t="s">
        <v>136</v>
      </c>
      <c r="B44" s="4" t="s">
        <v>137</v>
      </c>
      <c r="C44" s="4" t="s">
        <v>134</v>
      </c>
      <c r="D44" s="4" t="s">
        <v>130</v>
      </c>
      <c r="E44" s="4" t="s">
        <v>138</v>
      </c>
    </row>
    <row r="45" customFormat="false" ht="15" hidden="false" customHeight="false" outlineLevel="0" collapsed="false">
      <c r="A45" s="4" t="s">
        <v>139</v>
      </c>
      <c r="B45" s="4" t="s">
        <v>140</v>
      </c>
      <c r="C45" s="4" t="s">
        <v>64</v>
      </c>
      <c r="D45" s="4" t="s">
        <v>141</v>
      </c>
      <c r="E45" s="4" t="s">
        <v>142</v>
      </c>
    </row>
    <row r="46" customFormat="false" ht="15" hidden="false" customHeight="false" outlineLevel="0" collapsed="false">
      <c r="A46" s="4" t="s">
        <v>143</v>
      </c>
      <c r="B46" s="4" t="s">
        <v>144</v>
      </c>
      <c r="C46" s="4" t="s">
        <v>145</v>
      </c>
      <c r="D46" s="4" t="s">
        <v>141</v>
      </c>
      <c r="E46" s="4" t="s">
        <v>146</v>
      </c>
    </row>
    <row r="47" customFormat="false" ht="15" hidden="false" customHeight="false" outlineLevel="0" collapsed="false">
      <c r="A47" s="4" t="s">
        <v>147</v>
      </c>
      <c r="B47" s="4" t="s">
        <v>148</v>
      </c>
      <c r="C47" s="4" t="s">
        <v>149</v>
      </c>
      <c r="D47" s="4" t="s">
        <v>150</v>
      </c>
      <c r="E47" s="4" t="s">
        <v>151</v>
      </c>
    </row>
    <row r="48" customFormat="false" ht="15" hidden="false" customHeight="false" outlineLevel="0" collapsed="false">
      <c r="A48" s="4" t="s">
        <v>152</v>
      </c>
      <c r="B48" s="4" t="s">
        <v>101</v>
      </c>
      <c r="C48" s="4" t="s">
        <v>101</v>
      </c>
      <c r="D48" s="4" t="s">
        <v>153</v>
      </c>
      <c r="E48" s="4" t="s">
        <v>154</v>
      </c>
    </row>
    <row r="49" customFormat="false" ht="15" hidden="false" customHeight="false" outlineLevel="0" collapsed="false">
      <c r="A49" s="4" t="s">
        <v>155</v>
      </c>
      <c r="B49" s="4" t="s">
        <v>156</v>
      </c>
      <c r="C49" s="4" t="s">
        <v>157</v>
      </c>
      <c r="D49" s="4" t="s">
        <v>158</v>
      </c>
      <c r="E49" s="4" t="s">
        <v>159</v>
      </c>
    </row>
    <row r="50" customFormat="false" ht="15" hidden="false" customHeight="false" outlineLevel="0" collapsed="false">
      <c r="A50" s="2" t="s">
        <v>160</v>
      </c>
      <c r="B50" s="3"/>
      <c r="C50" s="3"/>
      <c r="D50" s="3"/>
      <c r="E50" s="3"/>
    </row>
    <row r="51" customFormat="false" ht="15" hidden="false" customHeight="false" outlineLevel="0" collapsed="false">
      <c r="A51" s="4" t="s">
        <v>161</v>
      </c>
      <c r="B51" s="4" t="s">
        <v>162</v>
      </c>
      <c r="C51" s="4" t="s">
        <v>163</v>
      </c>
      <c r="D51" s="4" t="s">
        <v>122</v>
      </c>
      <c r="E51" s="4" t="s">
        <v>164</v>
      </c>
    </row>
    <row r="52" customFormat="false" ht="15" hidden="false" customHeight="false" outlineLevel="0" collapsed="false">
      <c r="A52" s="4" t="s">
        <v>165</v>
      </c>
      <c r="B52" s="4" t="s">
        <v>166</v>
      </c>
      <c r="C52" s="4" t="s">
        <v>167</v>
      </c>
      <c r="D52" s="4" t="s">
        <v>122</v>
      </c>
      <c r="E52" s="4" t="s">
        <v>168</v>
      </c>
    </row>
    <row r="53" customFormat="false" ht="15" hidden="false" customHeight="false" outlineLevel="0" collapsed="false">
      <c r="A53" s="4" t="s">
        <v>169</v>
      </c>
      <c r="B53" s="4" t="s">
        <v>170</v>
      </c>
      <c r="C53" s="4" t="s">
        <v>171</v>
      </c>
      <c r="D53" s="4" t="s">
        <v>122</v>
      </c>
      <c r="E53" s="4" t="s">
        <v>172</v>
      </c>
    </row>
    <row r="54" customFormat="false" ht="15" hidden="false" customHeight="false" outlineLevel="0" collapsed="false">
      <c r="A54" s="4" t="s">
        <v>173</v>
      </c>
      <c r="B54" s="4" t="s">
        <v>174</v>
      </c>
      <c r="C54" s="4" t="s">
        <v>175</v>
      </c>
      <c r="D54" s="4" t="s">
        <v>122</v>
      </c>
      <c r="E54" s="4" t="s">
        <v>176</v>
      </c>
    </row>
    <row r="55" customFormat="false" ht="15" hidden="false" customHeight="false" outlineLevel="0" collapsed="false">
      <c r="A55" s="4" t="s">
        <v>177</v>
      </c>
      <c r="B55" s="4" t="s">
        <v>178</v>
      </c>
      <c r="C55" s="4" t="s">
        <v>179</v>
      </c>
      <c r="D55" s="4" t="s">
        <v>122</v>
      </c>
      <c r="E55" s="4" t="s">
        <v>180</v>
      </c>
    </row>
    <row r="56" customFormat="false" ht="15" hidden="false" customHeight="false" outlineLevel="0" collapsed="false">
      <c r="A56" s="4" t="s">
        <v>181</v>
      </c>
      <c r="B56" s="4" t="s">
        <v>182</v>
      </c>
      <c r="C56" s="4" t="s">
        <v>122</v>
      </c>
      <c r="D56" s="4" t="s">
        <v>183</v>
      </c>
      <c r="E56" s="4" t="s">
        <v>184</v>
      </c>
    </row>
    <row r="57" customFormat="false" ht="15" hidden="false" customHeight="false" outlineLevel="0" collapsed="false">
      <c r="A57" s="4" t="s">
        <v>185</v>
      </c>
      <c r="B57" s="4" t="s">
        <v>186</v>
      </c>
      <c r="C57" s="4" t="s">
        <v>186</v>
      </c>
      <c r="D57" s="4" t="s">
        <v>122</v>
      </c>
      <c r="E57" s="4" t="s">
        <v>187</v>
      </c>
    </row>
    <row r="58" customFormat="false" ht="15" hidden="false" customHeight="false" outlineLevel="0" collapsed="false">
      <c r="A58" s="4"/>
      <c r="B58" s="4"/>
      <c r="C58" s="4"/>
      <c r="D58" s="4"/>
      <c r="E58" s="4"/>
    </row>
    <row r="59" customFormat="false" ht="15" hidden="false" customHeight="false" outlineLevel="0" collapsed="false">
      <c r="A59" s="13" t="s">
        <v>188</v>
      </c>
      <c r="B59" s="13" t="s">
        <v>189</v>
      </c>
      <c r="C59" s="13" t="s">
        <v>190</v>
      </c>
      <c r="D59" s="13" t="s">
        <v>191</v>
      </c>
      <c r="E59" s="13"/>
    </row>
    <row r="60" customFormat="false" ht="15" hidden="false" customHeight="false" outlineLevel="0" collapsed="false">
      <c r="A60" s="4" t="s">
        <v>192</v>
      </c>
      <c r="B60" s="4" t="s">
        <v>193</v>
      </c>
      <c r="C60" s="4" t="s">
        <v>194</v>
      </c>
      <c r="D60" s="14" t="s">
        <v>195</v>
      </c>
      <c r="E60" s="4" t="s">
        <v>196</v>
      </c>
    </row>
    <row r="61" customFormat="false" ht="15" hidden="false" customHeight="false" outlineLevel="0" collapsed="false">
      <c r="A61" s="4" t="s">
        <v>197</v>
      </c>
      <c r="B61" s="4" t="s">
        <v>198</v>
      </c>
      <c r="C61" s="4" t="s">
        <v>194</v>
      </c>
      <c r="D61" s="14" t="s">
        <v>199</v>
      </c>
      <c r="E61" s="4" t="s">
        <v>200</v>
      </c>
    </row>
    <row r="62" customFormat="false" ht="15" hidden="false" customHeight="false" outlineLevel="0" collapsed="false">
      <c r="A62" s="4" t="s">
        <v>201</v>
      </c>
      <c r="B62" s="4" t="s">
        <v>202</v>
      </c>
      <c r="C62" s="4" t="s">
        <v>194</v>
      </c>
      <c r="D62" s="14" t="s">
        <v>203</v>
      </c>
      <c r="E62" s="4" t="s">
        <v>204</v>
      </c>
    </row>
    <row r="63" customFormat="false" ht="15" hidden="false" customHeight="false" outlineLevel="0" collapsed="false">
      <c r="A63" s="4" t="s">
        <v>205</v>
      </c>
      <c r="B63" s="4" t="s">
        <v>183</v>
      </c>
      <c r="C63" s="4" t="s">
        <v>194</v>
      </c>
      <c r="D63" s="14" t="s">
        <v>206</v>
      </c>
      <c r="E63" s="4" t="s">
        <v>207</v>
      </c>
    </row>
    <row r="64" customFormat="false" ht="15" hidden="false" customHeight="false" outlineLevel="0" collapsed="false">
      <c r="A64" s="4"/>
      <c r="B64" s="4"/>
      <c r="C64" s="4"/>
      <c r="D64" s="4"/>
      <c r="E64" s="4"/>
    </row>
    <row r="65" customFormat="false" ht="15" hidden="false" customHeight="false" outlineLevel="0" collapsed="false">
      <c r="A65" s="4" t="s">
        <v>208</v>
      </c>
      <c r="B65" s="4"/>
      <c r="C65" s="4"/>
      <c r="D65" s="4"/>
      <c r="E65" s="4"/>
    </row>
    <row r="66" customFormat="false" ht="15" hidden="false" customHeight="false" outlineLevel="0" collapsed="false">
      <c r="A66" s="4" t="s">
        <v>209</v>
      </c>
      <c r="B66" s="4" t="s">
        <v>210</v>
      </c>
      <c r="C66" s="4" t="s">
        <v>122</v>
      </c>
      <c r="D66" s="4" t="s">
        <v>122</v>
      </c>
      <c r="E66" s="4" t="s">
        <v>211</v>
      </c>
    </row>
    <row r="67" customFormat="false" ht="15" hidden="false" customHeight="false" outlineLevel="0" collapsed="false">
      <c r="A67" s="4" t="s">
        <v>212</v>
      </c>
      <c r="B67" s="4" t="s">
        <v>213</v>
      </c>
      <c r="C67" s="4" t="s">
        <v>122</v>
      </c>
      <c r="D67" s="4" t="s">
        <v>122</v>
      </c>
      <c r="E67" s="4" t="s">
        <v>214</v>
      </c>
    </row>
    <row r="68" customFormat="false" ht="15" hidden="false" customHeight="false" outlineLevel="0" collapsed="false">
      <c r="A68" s="4" t="s">
        <v>215</v>
      </c>
      <c r="B68" s="4" t="s">
        <v>216</v>
      </c>
      <c r="C68" s="4" t="s">
        <v>122</v>
      </c>
      <c r="D68" s="4" t="s">
        <v>217</v>
      </c>
      <c r="E68" s="4" t="s">
        <v>218</v>
      </c>
    </row>
    <row r="69" customFormat="false" ht="15" hidden="false" customHeight="false" outlineLevel="0" collapsed="false">
      <c r="A69" s="4"/>
      <c r="B69" s="4"/>
      <c r="C69" s="4"/>
      <c r="D69" s="4"/>
      <c r="E69" s="4"/>
    </row>
    <row r="70" customFormat="false" ht="35.05" hidden="false" customHeight="false" outlineLevel="0" collapsed="false">
      <c r="A70" s="4" t="s">
        <v>219</v>
      </c>
      <c r="B70" s="4"/>
      <c r="C70" s="4"/>
      <c r="D70" s="4"/>
      <c r="E70" s="4"/>
    </row>
    <row r="71" customFormat="false" ht="35.05" hidden="false" customHeight="false" outlineLevel="0" collapsed="false">
      <c r="A71" s="4" t="s">
        <v>220</v>
      </c>
      <c r="B71" s="4"/>
      <c r="C71" s="4"/>
      <c r="D71" s="4"/>
      <c r="E71" s="4"/>
    </row>
    <row r="72" customFormat="false" ht="15" hidden="false" customHeight="false" outlineLevel="0" collapsed="false">
      <c r="A72" s="4"/>
      <c r="B72" s="4"/>
      <c r="C72" s="4"/>
      <c r="D72" s="4"/>
      <c r="E72" s="4"/>
    </row>
    <row r="73" customFormat="false" ht="23.85" hidden="false" customHeight="false" outlineLevel="0" collapsed="false">
      <c r="A73" s="4" t="s">
        <v>221</v>
      </c>
      <c r="B73" s="4"/>
      <c r="C73" s="4"/>
      <c r="D73" s="4"/>
      <c r="E73" s="4"/>
    </row>
    <row r="74" customFormat="false" ht="23.85" hidden="false" customHeight="false" outlineLevel="0" collapsed="false">
      <c r="A74" s="4" t="s">
        <v>222</v>
      </c>
      <c r="B74" s="4"/>
      <c r="C74" s="4"/>
      <c r="D74" s="4"/>
      <c r="E74" s="4" t="s">
        <v>223</v>
      </c>
    </row>
    <row r="75" customFormat="false" ht="15" hidden="false" customHeight="false" outlineLevel="0" collapsed="false">
      <c r="A75" s="4" t="s">
        <v>224</v>
      </c>
      <c r="B75" s="4"/>
      <c r="C75" s="4"/>
      <c r="D75" s="4"/>
      <c r="E75" s="4" t="s">
        <v>225</v>
      </c>
    </row>
    <row r="76" customFormat="false" ht="23.85" hidden="false" customHeight="false" outlineLevel="0" collapsed="false">
      <c r="A76" s="4" t="s">
        <v>226</v>
      </c>
      <c r="B76" s="4"/>
      <c r="C76" s="4"/>
      <c r="D76" s="4"/>
      <c r="E76" s="4" t="s">
        <v>227</v>
      </c>
    </row>
    <row r="77" customFormat="false" ht="23.85" hidden="false" customHeight="false" outlineLevel="0" collapsed="false">
      <c r="A77" s="4" t="s">
        <v>228</v>
      </c>
      <c r="B77" s="4"/>
      <c r="C77" s="4"/>
      <c r="D77" s="4"/>
      <c r="E77" s="4" t="s">
        <v>229</v>
      </c>
    </row>
    <row r="78" customFormat="false" ht="15" hidden="false" customHeight="false" outlineLevel="0" collapsed="false">
      <c r="A78" s="4"/>
      <c r="B78" s="4"/>
      <c r="C78" s="4"/>
      <c r="D78" s="4"/>
      <c r="E78" s="4"/>
    </row>
    <row r="79" customFormat="false" ht="23.85" hidden="false" customHeight="false" outlineLevel="0" collapsed="false">
      <c r="A79" s="4" t="s">
        <v>230</v>
      </c>
      <c r="B79" s="4"/>
      <c r="C79" s="4"/>
      <c r="D79" s="4"/>
      <c r="E79" s="4"/>
    </row>
    <row r="80" customFormat="false" ht="15" hidden="false" customHeight="false" outlineLevel="0" collapsed="false">
      <c r="A80" s="4" t="s">
        <v>231</v>
      </c>
      <c r="B80" s="4" t="s">
        <v>232</v>
      </c>
      <c r="C80" s="4" t="s">
        <v>233</v>
      </c>
      <c r="D80" s="4"/>
      <c r="E80" s="4" t="s">
        <v>234</v>
      </c>
    </row>
    <row r="81" customFormat="false" ht="15" hidden="false" customHeight="false" outlineLevel="0" collapsed="false">
      <c r="A81" s="4" t="s">
        <v>235</v>
      </c>
      <c r="B81" s="4" t="s">
        <v>236</v>
      </c>
      <c r="C81" s="4"/>
      <c r="D81" s="4"/>
      <c r="E81" s="4" t="s">
        <v>237</v>
      </c>
    </row>
    <row r="82" customFormat="false" ht="15" hidden="false" customHeight="false" outlineLevel="0" collapsed="false">
      <c r="A82" s="4" t="s">
        <v>238</v>
      </c>
      <c r="B82" s="4" t="s">
        <v>239</v>
      </c>
      <c r="C82" s="4"/>
      <c r="D82" s="4"/>
      <c r="E82" s="4" t="s">
        <v>240</v>
      </c>
    </row>
    <row r="83" customFormat="false" ht="23.85" hidden="false" customHeight="false" outlineLevel="0" collapsed="false">
      <c r="A83" s="4" t="s">
        <v>241</v>
      </c>
      <c r="B83" s="4" t="s">
        <v>242</v>
      </c>
      <c r="C83" s="4" t="s">
        <v>243</v>
      </c>
      <c r="D83" s="4"/>
      <c r="E83" s="4" t="s">
        <v>244</v>
      </c>
    </row>
    <row r="84" customFormat="false" ht="15" hidden="false" customHeight="false" outlineLevel="0" collapsed="false">
      <c r="A84" s="4" t="s">
        <v>245</v>
      </c>
      <c r="B84" s="4" t="s">
        <v>186</v>
      </c>
      <c r="C84" s="4" t="s">
        <v>243</v>
      </c>
      <c r="D84" s="4"/>
      <c r="E84" s="4" t="s">
        <v>246</v>
      </c>
    </row>
    <row r="85" customFormat="false" ht="15" hidden="false" customHeight="false" outlineLevel="0" collapsed="false">
      <c r="A85" s="4" t="s">
        <v>247</v>
      </c>
      <c r="B85" s="4" t="s">
        <v>248</v>
      </c>
      <c r="C85" s="4"/>
      <c r="D85" s="4"/>
      <c r="E85" s="4" t="s">
        <v>249</v>
      </c>
    </row>
    <row r="86" customFormat="false" ht="15" hidden="false" customHeight="false" outlineLevel="0" collapsed="false">
      <c r="A86" s="4"/>
      <c r="B86" s="4"/>
      <c r="C86" s="4"/>
      <c r="D86" s="4"/>
      <c r="E86" s="4"/>
    </row>
    <row r="87" customFormat="false" ht="23.85" hidden="false" customHeight="false" outlineLevel="0" collapsed="false">
      <c r="A87" s="4" t="s">
        <v>250</v>
      </c>
      <c r="B87" s="4"/>
      <c r="C87" s="4"/>
      <c r="D87" s="4"/>
      <c r="E87" s="4"/>
    </row>
    <row r="88" customFormat="false" ht="15" hidden="false" customHeight="false" outlineLevel="0" collapsed="false">
      <c r="A88" s="4" t="s">
        <v>251</v>
      </c>
      <c r="B88" s="4" t="s">
        <v>252</v>
      </c>
      <c r="C88" s="4"/>
      <c r="D88" s="4"/>
      <c r="E88" s="4" t="s">
        <v>253</v>
      </c>
    </row>
    <row r="89" customFormat="false" ht="15" hidden="false" customHeight="false" outlineLevel="0" collapsed="false">
      <c r="A89" s="4" t="s">
        <v>254</v>
      </c>
      <c r="B89" s="4" t="s">
        <v>255</v>
      </c>
      <c r="C89" s="4"/>
      <c r="D89" s="4"/>
      <c r="E89" s="4" t="s">
        <v>256</v>
      </c>
    </row>
    <row r="90" customFormat="false" ht="15" hidden="false" customHeight="false" outlineLevel="0" collapsed="false">
      <c r="A90" s="4" t="s">
        <v>257</v>
      </c>
      <c r="B90" s="4"/>
      <c r="C90" s="4"/>
      <c r="D90" s="4"/>
      <c r="E90" s="4"/>
    </row>
    <row r="91" customFormat="false" ht="15" hidden="false" customHeight="false" outlineLevel="0" collapsed="false">
      <c r="A91" s="4" t="s">
        <v>258</v>
      </c>
      <c r="B91" s="4"/>
      <c r="C91" s="4" t="s">
        <v>243</v>
      </c>
      <c r="D91" s="4"/>
      <c r="E91" s="4" t="s">
        <v>259</v>
      </c>
    </row>
    <row r="92" customFormat="false" ht="15" hidden="false" customHeight="false" outlineLevel="0" collapsed="false">
      <c r="A92" s="4" t="s">
        <v>260</v>
      </c>
      <c r="B92" s="4"/>
      <c r="C92" s="4" t="s">
        <v>261</v>
      </c>
      <c r="D92" s="4"/>
      <c r="E92" s="4" t="s">
        <v>262</v>
      </c>
    </row>
    <row r="93" customFormat="false" ht="15" hidden="false" customHeight="false" outlineLevel="0" collapsed="false">
      <c r="A93" s="4" t="s">
        <v>263</v>
      </c>
      <c r="B93" s="4"/>
      <c r="C93" s="4" t="s">
        <v>264</v>
      </c>
      <c r="D93" s="4"/>
      <c r="E93" s="4" t="s">
        <v>265</v>
      </c>
    </row>
    <row r="94" customFormat="false" ht="15" hidden="false" customHeight="false" outlineLevel="0" collapsed="false">
      <c r="A94" s="4" t="s">
        <v>266</v>
      </c>
      <c r="B94" s="4"/>
      <c r="C94" s="4" t="s">
        <v>243</v>
      </c>
      <c r="D94" s="4"/>
      <c r="E94" s="4" t="s">
        <v>267</v>
      </c>
    </row>
    <row r="95" customFormat="false" ht="15" hidden="false" customHeight="false" outlineLevel="0" collapsed="false">
      <c r="A95" s="4"/>
      <c r="B95" s="4"/>
      <c r="C95" s="4"/>
      <c r="D95" s="4"/>
      <c r="E95" s="4"/>
    </row>
    <row r="96" customFormat="false" ht="15" hidden="false" customHeight="false" outlineLevel="0" collapsed="false">
      <c r="A96" s="4" t="s">
        <v>268</v>
      </c>
      <c r="B96" s="4"/>
      <c r="C96" s="4"/>
      <c r="D96" s="4"/>
      <c r="E96" s="4"/>
    </row>
    <row r="97" customFormat="false" ht="15" hidden="false" customHeight="false" outlineLevel="0" collapsed="false">
      <c r="A97" s="4" t="s">
        <v>269</v>
      </c>
      <c r="B97" s="4" t="s">
        <v>213</v>
      </c>
      <c r="C97" s="4"/>
      <c r="D97" s="4"/>
      <c r="E97" s="4" t="s">
        <v>270</v>
      </c>
    </row>
    <row r="98" customFormat="false" ht="15" hidden="false" customHeight="false" outlineLevel="0" collapsed="false">
      <c r="A98" s="4" t="s">
        <v>271</v>
      </c>
      <c r="B98" s="4" t="s">
        <v>272</v>
      </c>
      <c r="C98" s="4"/>
      <c r="D98" s="4"/>
      <c r="E98" s="4" t="s">
        <v>273</v>
      </c>
    </row>
    <row r="99" customFormat="false" ht="15" hidden="false" customHeight="false" outlineLevel="0" collapsed="false">
      <c r="A99" s="4" t="s">
        <v>274</v>
      </c>
      <c r="B99" s="4" t="s">
        <v>275</v>
      </c>
      <c r="C99" s="4"/>
      <c r="D99" s="4"/>
      <c r="E99" s="4" t="s">
        <v>276</v>
      </c>
    </row>
    <row r="100" customFormat="false" ht="15" hidden="false" customHeight="false" outlineLevel="0" collapsed="false">
      <c r="A100" s="4" t="s">
        <v>277</v>
      </c>
      <c r="B100" s="4" t="s">
        <v>278</v>
      </c>
      <c r="C100" s="4"/>
      <c r="D100" s="4"/>
      <c r="E100" s="4" t="s">
        <v>279</v>
      </c>
    </row>
    <row r="101" customFormat="false" ht="15" hidden="false" customHeight="false" outlineLevel="0" collapsed="false">
      <c r="A101" s="4"/>
      <c r="B101" s="4"/>
      <c r="C101" s="4"/>
      <c r="D101" s="4"/>
      <c r="E101" s="4"/>
    </row>
    <row r="102" customFormat="false" ht="15" hidden="false" customHeight="false" outlineLevel="0" collapsed="false">
      <c r="A102" s="4" t="s">
        <v>280</v>
      </c>
      <c r="B102" s="4"/>
      <c r="C102" s="4"/>
      <c r="D102" s="4"/>
      <c r="E102" s="4"/>
    </row>
    <row r="103" customFormat="false" ht="15" hidden="false" customHeight="false" outlineLevel="0" collapsed="false">
      <c r="A103" s="4" t="s">
        <v>281</v>
      </c>
      <c r="B103" s="4" t="s">
        <v>282</v>
      </c>
      <c r="C103" s="4"/>
      <c r="D103" s="4"/>
      <c r="E103" s="4" t="s">
        <v>283</v>
      </c>
    </row>
    <row r="104" customFormat="false" ht="15" hidden="false" customHeight="false" outlineLevel="0" collapsed="false">
      <c r="A104" s="4" t="s">
        <v>284</v>
      </c>
      <c r="B104" s="4" t="s">
        <v>285</v>
      </c>
      <c r="C104" s="4"/>
      <c r="D104" s="4"/>
      <c r="E104" s="4" t="s">
        <v>286</v>
      </c>
    </row>
    <row r="105" customFormat="false" ht="15" hidden="false" customHeight="false" outlineLevel="0" collapsed="false">
      <c r="A105" s="4" t="s">
        <v>287</v>
      </c>
      <c r="B105" s="4" t="s">
        <v>288</v>
      </c>
      <c r="C105" s="4"/>
      <c r="D105" s="4"/>
      <c r="E105" s="4" t="s">
        <v>289</v>
      </c>
    </row>
    <row r="106" customFormat="false" ht="15" hidden="false" customHeight="false" outlineLevel="0" collapsed="false">
      <c r="A106" s="4" t="s">
        <v>290</v>
      </c>
      <c r="B106" s="4" t="s">
        <v>291</v>
      </c>
      <c r="C106" s="4"/>
      <c r="D106" s="4"/>
      <c r="E106" s="4" t="s">
        <v>292</v>
      </c>
    </row>
    <row r="107" customFormat="false" ht="15" hidden="false" customHeight="false" outlineLevel="0" collapsed="false">
      <c r="A107" s="4" t="s">
        <v>293</v>
      </c>
      <c r="B107" s="4" t="s">
        <v>294</v>
      </c>
      <c r="C107" s="4"/>
      <c r="D107" s="4"/>
      <c r="E107" s="4" t="s">
        <v>295</v>
      </c>
    </row>
    <row r="108" customFormat="false" ht="15" hidden="false" customHeight="false" outlineLevel="0" collapsed="false">
      <c r="A108" s="4" t="s">
        <v>296</v>
      </c>
      <c r="B108" s="4" t="s">
        <v>297</v>
      </c>
      <c r="C108" s="4"/>
      <c r="D108" s="4"/>
      <c r="E108" s="4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45"/>
  </cols>
  <sheetData>
    <row r="1" customFormat="false" ht="39.55" hidden="false" customHeight="false" outlineLevel="0" collapsed="false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4</v>
      </c>
    </row>
    <row r="2" customFormat="false" ht="15" hidden="false" customHeight="false" outlineLevel="0" collapsed="false">
      <c r="A2" s="4" t="s">
        <v>310</v>
      </c>
      <c r="B2" s="4" t="s">
        <v>311</v>
      </c>
      <c r="C2" s="4" t="n">
        <v>30</v>
      </c>
      <c r="D2" s="6" t="s">
        <v>64</v>
      </c>
      <c r="E2" s="6" t="s">
        <v>64</v>
      </c>
      <c r="F2" s="6" t="s">
        <v>64</v>
      </c>
      <c r="G2" s="7" t="s">
        <v>101</v>
      </c>
      <c r="H2" s="4" t="s">
        <v>312</v>
      </c>
      <c r="I2" s="7" t="s">
        <v>101</v>
      </c>
      <c r="J2" s="7" t="s">
        <v>101</v>
      </c>
      <c r="K2" s="4" t="s">
        <v>313</v>
      </c>
      <c r="L2" s="4" t="s">
        <v>314</v>
      </c>
    </row>
    <row r="3" customFormat="false" ht="15" hidden="false" customHeight="false" outlineLevel="0" collapsed="false">
      <c r="A3" s="4" t="s">
        <v>315</v>
      </c>
      <c r="B3" s="4" t="s">
        <v>316</v>
      </c>
      <c r="C3" s="4" t="n">
        <v>30</v>
      </c>
      <c r="D3" s="6" t="s">
        <v>64</v>
      </c>
      <c r="E3" s="6" t="s">
        <v>64</v>
      </c>
      <c r="F3" s="6" t="s">
        <v>64</v>
      </c>
      <c r="G3" s="7" t="s">
        <v>101</v>
      </c>
      <c r="H3" s="4" t="s">
        <v>312</v>
      </c>
      <c r="I3" s="7" t="s">
        <v>101</v>
      </c>
      <c r="J3" s="7" t="s">
        <v>101</v>
      </c>
      <c r="K3" s="4" t="s">
        <v>313</v>
      </c>
      <c r="L3" s="4" t="s">
        <v>314</v>
      </c>
    </row>
    <row r="4" customFormat="false" ht="15" hidden="false" customHeight="false" outlineLevel="0" collapsed="false">
      <c r="A4" s="4" t="s">
        <v>317</v>
      </c>
      <c r="B4" s="4" t="s">
        <v>318</v>
      </c>
      <c r="C4" s="4" t="n">
        <v>30</v>
      </c>
      <c r="D4" s="6" t="s">
        <v>64</v>
      </c>
      <c r="E4" s="6" t="s">
        <v>64</v>
      </c>
      <c r="F4" s="6" t="s">
        <v>64</v>
      </c>
      <c r="G4" s="7" t="s">
        <v>101</v>
      </c>
      <c r="H4" s="4" t="s">
        <v>312</v>
      </c>
      <c r="I4" s="7" t="s">
        <v>101</v>
      </c>
      <c r="J4" s="7" t="s">
        <v>101</v>
      </c>
      <c r="K4" s="4" t="s">
        <v>313</v>
      </c>
      <c r="L4" s="4" t="s">
        <v>314</v>
      </c>
    </row>
    <row r="5" customFormat="false" ht="15" hidden="false" customHeight="false" outlineLevel="0" collapsed="false">
      <c r="A5" s="4" t="s">
        <v>319</v>
      </c>
      <c r="B5" s="4" t="s">
        <v>320</v>
      </c>
      <c r="C5" s="4" t="n">
        <v>30</v>
      </c>
      <c r="D5" s="6" t="s">
        <v>64</v>
      </c>
      <c r="E5" s="6" t="s">
        <v>64</v>
      </c>
      <c r="F5" s="6" t="s">
        <v>64</v>
      </c>
      <c r="G5" s="7" t="s">
        <v>101</v>
      </c>
      <c r="H5" s="4" t="s">
        <v>312</v>
      </c>
      <c r="I5" s="7" t="s">
        <v>101</v>
      </c>
      <c r="J5" s="7" t="s">
        <v>101</v>
      </c>
      <c r="K5" s="4" t="s">
        <v>313</v>
      </c>
      <c r="L5" s="4" t="s">
        <v>314</v>
      </c>
    </row>
    <row r="6" customFormat="false" ht="15" hidden="false" customHeight="false" outlineLevel="0" collapsed="false">
      <c r="A6" s="4" t="s">
        <v>321</v>
      </c>
      <c r="B6" s="4" t="s">
        <v>322</v>
      </c>
      <c r="C6" s="4" t="n">
        <v>30</v>
      </c>
      <c r="D6" s="6" t="s">
        <v>64</v>
      </c>
      <c r="E6" s="6" t="s">
        <v>64</v>
      </c>
      <c r="F6" s="6" t="s">
        <v>64</v>
      </c>
      <c r="G6" s="7" t="s">
        <v>101</v>
      </c>
      <c r="H6" s="4" t="s">
        <v>312</v>
      </c>
      <c r="I6" s="7" t="s">
        <v>101</v>
      </c>
      <c r="J6" s="7" t="s">
        <v>101</v>
      </c>
      <c r="K6" s="4" t="s">
        <v>313</v>
      </c>
      <c r="L6" s="4" t="s">
        <v>314</v>
      </c>
    </row>
    <row r="7" customFormat="false" ht="15" hidden="false" customHeight="false" outlineLevel="0" collapsed="false">
      <c r="A7" s="4" t="s">
        <v>323</v>
      </c>
      <c r="B7" s="4" t="s">
        <v>324</v>
      </c>
      <c r="C7" s="4" t="n">
        <v>1</v>
      </c>
      <c r="D7" s="7" t="s">
        <v>101</v>
      </c>
      <c r="E7" s="7" t="s">
        <v>101</v>
      </c>
      <c r="F7" s="7" t="s">
        <v>101</v>
      </c>
      <c r="G7" s="7" t="s">
        <v>101</v>
      </c>
      <c r="H7" s="7" t="s">
        <v>101</v>
      </c>
      <c r="I7" s="7" t="s">
        <v>101</v>
      </c>
      <c r="J7" s="7" t="s">
        <v>101</v>
      </c>
      <c r="K7" s="4" t="s">
        <v>101</v>
      </c>
      <c r="L7" s="4" t="s">
        <v>325</v>
      </c>
    </row>
    <row r="8" customFormat="false" ht="15" hidden="false" customHeight="false" outlineLevel="0" collapsed="false">
      <c r="A8" s="4" t="s">
        <v>326</v>
      </c>
      <c r="B8" s="4" t="s">
        <v>327</v>
      </c>
      <c r="C8" s="4" t="n">
        <v>30</v>
      </c>
      <c r="D8" s="7" t="s">
        <v>101</v>
      </c>
      <c r="E8" s="7" t="s">
        <v>101</v>
      </c>
      <c r="F8" s="7" t="s">
        <v>101</v>
      </c>
      <c r="G8" s="7" t="s">
        <v>101</v>
      </c>
      <c r="H8" s="4" t="s">
        <v>312</v>
      </c>
      <c r="I8" s="7" t="s">
        <v>101</v>
      </c>
      <c r="J8" s="4" t="s">
        <v>328</v>
      </c>
      <c r="K8" s="4" t="s">
        <v>101</v>
      </c>
      <c r="L8" s="4" t="s">
        <v>329</v>
      </c>
    </row>
    <row r="9" customFormat="false" ht="15" hidden="false" customHeight="false" outlineLevel="0" collapsed="false">
      <c r="A9" s="4" t="s">
        <v>330</v>
      </c>
      <c r="B9" s="4" t="s">
        <v>331</v>
      </c>
      <c r="C9" s="4" t="n">
        <v>30</v>
      </c>
      <c r="D9" s="6" t="s">
        <v>64</v>
      </c>
      <c r="E9" s="6" t="s">
        <v>64</v>
      </c>
      <c r="F9" s="6" t="s">
        <v>64</v>
      </c>
      <c r="G9" s="7" t="s">
        <v>101</v>
      </c>
      <c r="H9" s="4" t="s">
        <v>312</v>
      </c>
      <c r="I9" s="7" t="s">
        <v>101</v>
      </c>
      <c r="J9" s="7" t="s">
        <v>101</v>
      </c>
      <c r="K9" s="4" t="s">
        <v>313</v>
      </c>
      <c r="L9" s="4" t="s">
        <v>314</v>
      </c>
    </row>
    <row r="10" customFormat="false" ht="15" hidden="false" customHeight="false" outlineLevel="0" collapsed="false">
      <c r="A10" s="4" t="s">
        <v>332</v>
      </c>
      <c r="B10" s="4" t="s">
        <v>333</v>
      </c>
      <c r="C10" s="4" t="n">
        <v>30</v>
      </c>
      <c r="D10" s="7" t="s">
        <v>101</v>
      </c>
      <c r="E10" s="7" t="s">
        <v>101</v>
      </c>
      <c r="F10" s="7" t="s">
        <v>101</v>
      </c>
      <c r="G10" s="7" t="s">
        <v>101</v>
      </c>
      <c r="H10" s="4" t="s">
        <v>312</v>
      </c>
      <c r="I10" s="7" t="s">
        <v>101</v>
      </c>
      <c r="J10" s="4" t="s">
        <v>328</v>
      </c>
      <c r="K10" s="4" t="s">
        <v>101</v>
      </c>
      <c r="L10" s="4" t="s">
        <v>329</v>
      </c>
    </row>
    <row r="11" customFormat="false" ht="15" hidden="false" customHeight="false" outlineLevel="0" collapsed="false">
      <c r="A11" s="4" t="s">
        <v>334</v>
      </c>
      <c r="B11" s="4" t="s">
        <v>335</v>
      </c>
      <c r="C11" s="4" t="n">
        <v>30</v>
      </c>
      <c r="D11" s="7" t="s">
        <v>101</v>
      </c>
      <c r="E11" s="7" t="s">
        <v>101</v>
      </c>
      <c r="F11" s="7" t="s">
        <v>101</v>
      </c>
      <c r="G11" s="7" t="s">
        <v>101</v>
      </c>
      <c r="H11" s="4" t="s">
        <v>312</v>
      </c>
      <c r="I11" s="7" t="s">
        <v>101</v>
      </c>
      <c r="J11" s="4" t="s">
        <v>313</v>
      </c>
      <c r="K11" s="4" t="s">
        <v>101</v>
      </c>
      <c r="L11" s="4" t="s">
        <v>336</v>
      </c>
    </row>
    <row r="12" customFormat="false" ht="15" hidden="false" customHeight="false" outlineLevel="0" collapsed="false">
      <c r="A12" s="4" t="s">
        <v>337</v>
      </c>
      <c r="B12" s="4" t="s">
        <v>338</v>
      </c>
      <c r="C12" s="4" t="n">
        <v>30</v>
      </c>
      <c r="D12" s="7" t="s">
        <v>101</v>
      </c>
      <c r="E12" s="7" t="s">
        <v>101</v>
      </c>
      <c r="F12" s="7" t="s">
        <v>101</v>
      </c>
      <c r="G12" s="7" t="s">
        <v>101</v>
      </c>
      <c r="H12" s="4" t="s">
        <v>312</v>
      </c>
      <c r="I12" s="7" t="s">
        <v>101</v>
      </c>
      <c r="J12" s="4" t="s">
        <v>339</v>
      </c>
      <c r="K12" s="4" t="s">
        <v>101</v>
      </c>
      <c r="L12" s="4" t="s">
        <v>340</v>
      </c>
    </row>
    <row r="13" customFormat="false" ht="15" hidden="false" customHeight="false" outlineLevel="0" collapsed="false">
      <c r="A13" s="4" t="s">
        <v>341</v>
      </c>
      <c r="B13" s="4" t="s">
        <v>342</v>
      </c>
      <c r="C13" s="4" t="n">
        <v>30</v>
      </c>
      <c r="D13" s="6" t="s">
        <v>64</v>
      </c>
      <c r="E13" s="6" t="s">
        <v>64</v>
      </c>
      <c r="F13" s="6" t="s">
        <v>64</v>
      </c>
      <c r="G13" s="7" t="s">
        <v>101</v>
      </c>
      <c r="H13" s="4" t="s">
        <v>312</v>
      </c>
      <c r="I13" s="7" t="s">
        <v>101</v>
      </c>
      <c r="J13" s="7" t="s">
        <v>101</v>
      </c>
      <c r="K13" s="4" t="s">
        <v>313</v>
      </c>
      <c r="L13" s="4" t="s">
        <v>314</v>
      </c>
    </row>
    <row r="14" customFormat="false" ht="15" hidden="false" customHeight="false" outlineLevel="0" collapsed="false">
      <c r="A14" s="4" t="s">
        <v>343</v>
      </c>
      <c r="B14" s="4" t="s">
        <v>344</v>
      </c>
      <c r="C14" s="4" t="n">
        <v>30</v>
      </c>
      <c r="D14" s="6" t="s">
        <v>64</v>
      </c>
      <c r="E14" s="6" t="s">
        <v>64</v>
      </c>
      <c r="F14" s="6" t="s">
        <v>64</v>
      </c>
      <c r="G14" s="7" t="s">
        <v>101</v>
      </c>
      <c r="H14" s="4" t="s">
        <v>312</v>
      </c>
      <c r="I14" s="7" t="s">
        <v>101</v>
      </c>
      <c r="J14" s="7" t="s">
        <v>101</v>
      </c>
      <c r="K14" s="4" t="s">
        <v>313</v>
      </c>
      <c r="L14" s="4" t="s">
        <v>314</v>
      </c>
    </row>
    <row r="15" customFormat="false" ht="15" hidden="false" customHeight="false" outlineLevel="0" collapsed="false">
      <c r="A15" s="4" t="s">
        <v>345</v>
      </c>
      <c r="B15" s="4" t="s">
        <v>346</v>
      </c>
      <c r="C15" s="4" t="n">
        <v>30</v>
      </c>
      <c r="D15" s="6" t="s">
        <v>64</v>
      </c>
      <c r="E15" s="6" t="s">
        <v>64</v>
      </c>
      <c r="F15" s="6" t="s">
        <v>64</v>
      </c>
      <c r="G15" s="7" t="s">
        <v>101</v>
      </c>
      <c r="H15" s="4" t="s">
        <v>312</v>
      </c>
      <c r="I15" s="7" t="s">
        <v>101</v>
      </c>
      <c r="J15" s="7" t="s">
        <v>101</v>
      </c>
      <c r="K15" s="4" t="s">
        <v>313</v>
      </c>
      <c r="L15" s="4" t="s">
        <v>314</v>
      </c>
    </row>
    <row r="16" customFormat="false" ht="15" hidden="false" customHeight="false" outlineLevel="0" collapsed="false">
      <c r="A16" s="4" t="s">
        <v>347</v>
      </c>
      <c r="B16" s="4" t="s">
        <v>348</v>
      </c>
      <c r="C16" s="4" t="n">
        <v>30</v>
      </c>
      <c r="D16" s="6" t="s">
        <v>64</v>
      </c>
      <c r="E16" s="6" t="s">
        <v>64</v>
      </c>
      <c r="F16" s="6" t="s">
        <v>64</v>
      </c>
      <c r="G16" s="7" t="s">
        <v>101</v>
      </c>
      <c r="H16" s="4" t="s">
        <v>312</v>
      </c>
      <c r="I16" s="7" t="s">
        <v>101</v>
      </c>
      <c r="J16" s="7" t="s">
        <v>101</v>
      </c>
      <c r="K16" s="4" t="s">
        <v>313</v>
      </c>
      <c r="L16" s="4" t="s">
        <v>314</v>
      </c>
    </row>
    <row r="17" customFormat="false" ht="15" hidden="false" customHeight="false" outlineLevel="0" collapsed="false">
      <c r="A17" s="4" t="s">
        <v>349</v>
      </c>
      <c r="B17" s="4" t="s">
        <v>350</v>
      </c>
      <c r="C17" s="4" t="n">
        <v>30</v>
      </c>
      <c r="D17" s="7" t="s">
        <v>101</v>
      </c>
      <c r="E17" s="7" t="s">
        <v>101</v>
      </c>
      <c r="F17" s="7" t="s">
        <v>101</v>
      </c>
      <c r="G17" s="7" t="s">
        <v>101</v>
      </c>
      <c r="H17" s="4" t="s">
        <v>312</v>
      </c>
      <c r="I17" s="7" t="s">
        <v>101</v>
      </c>
      <c r="J17" s="4" t="s">
        <v>328</v>
      </c>
      <c r="K17" s="4" t="s">
        <v>101</v>
      </c>
      <c r="L17" s="4" t="s">
        <v>329</v>
      </c>
    </row>
    <row r="18" customFormat="false" ht="15" hidden="false" customHeight="false" outlineLevel="0" collapsed="false">
      <c r="A18" s="15" t="s">
        <v>351</v>
      </c>
      <c r="B18" s="16"/>
      <c r="C18" s="17" t="n">
        <f aca="false">SUM(C2:C17)</f>
        <v>451</v>
      </c>
      <c r="D18" s="15" t="n">
        <f aca="false">COUNTIF(D2:D17,"Yes")</f>
        <v>10</v>
      </c>
      <c r="E18" s="15" t="n">
        <f aca="false">COUNTIF(E2:E17,"Yes")</f>
        <v>10</v>
      </c>
      <c r="F18" s="15" t="n">
        <f aca="false">COUNTIF(F2:F17,"Yes")</f>
        <v>10</v>
      </c>
      <c r="G18" s="15" t="n">
        <f aca="false">COUNTIF(G2:G17,"Yes")</f>
        <v>0</v>
      </c>
      <c r="H18" s="15" t="n">
        <f aca="false">COUNTIF(H2:H17,"Yes")</f>
        <v>0</v>
      </c>
      <c r="I18" s="15" t="n">
        <f aca="false">COUNTIF(I2:I17,"Yes")</f>
        <v>0</v>
      </c>
      <c r="J18" s="15" t="n">
        <f aca="false">COUNTIF(J2:J17,"Yes")</f>
        <v>0</v>
      </c>
      <c r="K18" s="16"/>
      <c r="L18" s="16" t="s">
        <v>352</v>
      </c>
    </row>
    <row r="19" customFormat="false" ht="15" hidden="false" customHeight="false" outlineLevel="0" collapsed="false">
      <c r="A19" s="18" t="s">
        <v>353</v>
      </c>
      <c r="D19" s="19" t="n">
        <f aca="false">D18/16</f>
        <v>0.625</v>
      </c>
      <c r="E19" s="19" t="n">
        <f aca="false">E18/16</f>
        <v>0.625</v>
      </c>
      <c r="F19" s="19" t="n">
        <f aca="false">F18/16</f>
        <v>0.625</v>
      </c>
      <c r="G19" s="19" t="n">
        <f aca="false">G18/16</f>
        <v>0</v>
      </c>
      <c r="H19" s="19" t="n">
        <f aca="false">H18/16</f>
        <v>0</v>
      </c>
      <c r="I19" s="19" t="n">
        <f aca="false">I18/16</f>
        <v>0</v>
      </c>
      <c r="J19" s="19" t="n">
        <f aca="false">J18/16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D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0" t="s">
        <v>354</v>
      </c>
      <c r="B1" s="20"/>
      <c r="C1" s="20"/>
      <c r="D1" s="20"/>
    </row>
    <row r="3" customFormat="false" ht="15" hidden="false" customHeight="false" outlineLevel="0" collapsed="false">
      <c r="A3" s="1" t="s">
        <v>355</v>
      </c>
      <c r="B3" s="1" t="s">
        <v>356</v>
      </c>
      <c r="C3" s="1" t="s">
        <v>357</v>
      </c>
      <c r="D3" s="1" t="s">
        <v>234</v>
      </c>
    </row>
    <row r="4" customFormat="false" ht="15" hidden="false" customHeight="false" outlineLevel="0" collapsed="false">
      <c r="A4" s="4" t="s">
        <v>358</v>
      </c>
      <c r="B4" s="8" t="n">
        <v>2000</v>
      </c>
      <c r="C4" s="10" t="n">
        <f aca="false">B4/30</f>
        <v>66.6666666666667</v>
      </c>
      <c r="D4" s="4" t="s">
        <v>359</v>
      </c>
    </row>
    <row r="5" customFormat="false" ht="15" hidden="false" customHeight="false" outlineLevel="0" collapsed="false">
      <c r="A5" s="4" t="s">
        <v>360</v>
      </c>
      <c r="B5" s="10" t="n">
        <f aca="false">C5*30</f>
        <v>225</v>
      </c>
      <c r="C5" s="8" t="n">
        <v>7.5</v>
      </c>
      <c r="D5" s="4" t="s">
        <v>361</v>
      </c>
    </row>
    <row r="6" customFormat="false" ht="15" hidden="false" customHeight="false" outlineLevel="0" collapsed="false">
      <c r="A6" s="4" t="s">
        <v>362</v>
      </c>
      <c r="B6" s="10" t="n">
        <f aca="false">C6*30</f>
        <v>6750</v>
      </c>
      <c r="C6" s="8" t="n">
        <v>225</v>
      </c>
      <c r="D6" s="4" t="s">
        <v>363</v>
      </c>
    </row>
    <row r="7" customFormat="false" ht="15" hidden="false" customHeight="false" outlineLevel="0" collapsed="false">
      <c r="A7" s="4" t="s">
        <v>364</v>
      </c>
      <c r="B7" s="10" t="n">
        <f aca="false">C7*30</f>
        <v>750</v>
      </c>
      <c r="C7" s="8" t="n">
        <v>25</v>
      </c>
      <c r="D7" s="4" t="s">
        <v>365</v>
      </c>
    </row>
    <row r="8" customFormat="false" ht="15" hidden="false" customHeight="false" outlineLevel="0" collapsed="false">
      <c r="A8" s="4" t="s">
        <v>366</v>
      </c>
      <c r="B8" s="10" t="n">
        <f aca="false">C8*30</f>
        <v>3000</v>
      </c>
      <c r="C8" s="8" t="n">
        <v>100</v>
      </c>
      <c r="D8" s="4" t="s">
        <v>367</v>
      </c>
    </row>
    <row r="9" customFormat="false" ht="15" hidden="false" customHeight="false" outlineLevel="0" collapsed="false">
      <c r="A9" s="4" t="s">
        <v>368</v>
      </c>
      <c r="B9" s="10" t="n">
        <f aca="false">C9*30</f>
        <v>3360</v>
      </c>
      <c r="C9" s="10" t="n">
        <f aca="false">40*2.8</f>
        <v>112</v>
      </c>
      <c r="D9" s="4" t="s">
        <v>369</v>
      </c>
    </row>
    <row r="10" customFormat="false" ht="15" hidden="false" customHeight="false" outlineLevel="0" collapsed="false">
      <c r="A10" s="4" t="s">
        <v>370</v>
      </c>
      <c r="B10" s="10" t="n">
        <f aca="false">C10*30</f>
        <v>5880</v>
      </c>
      <c r="C10" s="10" t="n">
        <f aca="false">70*2.8</f>
        <v>196</v>
      </c>
      <c r="D10" s="4" t="s">
        <v>371</v>
      </c>
    </row>
    <row r="11" customFormat="false" ht="15" hidden="false" customHeight="false" outlineLevel="0" collapsed="false">
      <c r="A11" s="4" t="s">
        <v>372</v>
      </c>
      <c r="B11" s="10" t="n">
        <f aca="false">C11*30</f>
        <v>6804</v>
      </c>
      <c r="C11" s="10" t="n">
        <f aca="false">81*2.8</f>
        <v>226.8</v>
      </c>
      <c r="D11" s="4" t="s">
        <v>373</v>
      </c>
    </row>
    <row r="12" customFormat="false" ht="15" hidden="false" customHeight="false" outlineLevel="0" collapsed="false">
      <c r="A12" s="4" t="s">
        <v>374</v>
      </c>
      <c r="B12" s="10" t="n">
        <f aca="false">C12*30</f>
        <v>16800</v>
      </c>
      <c r="C12" s="10" t="n">
        <f aca="false">200*2.8</f>
        <v>560</v>
      </c>
      <c r="D12" s="4" t="s">
        <v>375</v>
      </c>
    </row>
    <row r="13" customFormat="false" ht="15" hidden="false" customHeight="false" outlineLevel="0" collapsed="false">
      <c r="A13" s="4" t="s">
        <v>376</v>
      </c>
      <c r="B13" s="10" t="n">
        <f aca="false">C13*30</f>
        <v>8400</v>
      </c>
      <c r="C13" s="10" t="n">
        <f aca="false">100*2.8</f>
        <v>280</v>
      </c>
      <c r="D13" s="4" t="s">
        <v>377</v>
      </c>
    </row>
    <row r="14" customFormat="false" ht="15" hidden="false" customHeight="false" outlineLevel="0" collapsed="false">
      <c r="A14" s="4" t="s">
        <v>378</v>
      </c>
      <c r="B14" s="10" t="n">
        <f aca="false">C14*30</f>
        <v>39900</v>
      </c>
      <c r="C14" s="10" t="n">
        <f aca="false">475*2.8</f>
        <v>1330</v>
      </c>
      <c r="D14" s="4" t="s">
        <v>379</v>
      </c>
    </row>
    <row r="17" customFormat="false" ht="15" hidden="false" customHeight="false" outlineLevel="0" collapsed="false">
      <c r="A17" s="2" t="s">
        <v>380</v>
      </c>
      <c r="B17" s="3"/>
      <c r="C17" s="3"/>
      <c r="D17" s="3"/>
    </row>
    <row r="19" customFormat="false" ht="15" hidden="false" customHeight="false" outlineLevel="0" collapsed="false">
      <c r="A19" s="1" t="s">
        <v>381</v>
      </c>
      <c r="B19" s="1" t="s">
        <v>382</v>
      </c>
      <c r="C19" s="1" t="s">
        <v>383</v>
      </c>
      <c r="D19" s="1" t="s">
        <v>384</v>
      </c>
    </row>
    <row r="20" customFormat="false" ht="15" hidden="false" customHeight="false" outlineLevel="0" collapsed="false">
      <c r="A20" s="4" t="s">
        <v>385</v>
      </c>
      <c r="B20" s="21" t="n">
        <f aca="false">B5</f>
        <v>225</v>
      </c>
      <c r="C20" s="21" t="n">
        <f aca="false">B4</f>
        <v>2000</v>
      </c>
      <c r="D20" s="12" t="n">
        <f aca="false">1-(C20/B20)</f>
        <v>-7.88888888888889</v>
      </c>
    </row>
    <row r="21" customFormat="false" ht="15" hidden="false" customHeight="false" outlineLevel="0" collapsed="false">
      <c r="A21" s="4" t="s">
        <v>386</v>
      </c>
      <c r="B21" s="21" t="n">
        <f aca="false">B6</f>
        <v>6750</v>
      </c>
      <c r="C21" s="21" t="n">
        <f aca="false">B4</f>
        <v>2000</v>
      </c>
      <c r="D21" s="12" t="n">
        <f aca="false">1-(C21/B21)</f>
        <v>0.703703703703704</v>
      </c>
    </row>
    <row r="22" customFormat="false" ht="15" hidden="false" customHeight="false" outlineLevel="0" collapsed="false">
      <c r="A22" s="4" t="s">
        <v>387</v>
      </c>
      <c r="B22" s="21" t="n">
        <f aca="false">B7</f>
        <v>750</v>
      </c>
      <c r="C22" s="21" t="n">
        <f aca="false">B4</f>
        <v>2000</v>
      </c>
      <c r="D22" s="12" t="n">
        <f aca="false">1-(C22/B22)</f>
        <v>-1.66666666666667</v>
      </c>
    </row>
    <row r="23" customFormat="false" ht="15" hidden="false" customHeight="false" outlineLevel="0" collapsed="false">
      <c r="A23" s="4" t="s">
        <v>388</v>
      </c>
      <c r="B23" s="21" t="n">
        <f aca="false">B8</f>
        <v>3000</v>
      </c>
      <c r="C23" s="21" t="n">
        <f aca="false">B4</f>
        <v>2000</v>
      </c>
      <c r="D23" s="12" t="n">
        <f aca="false">1-(C23/B23)</f>
        <v>0.333333333333333</v>
      </c>
    </row>
    <row r="24" customFormat="false" ht="15" hidden="false" customHeight="false" outlineLevel="0" collapsed="false">
      <c r="A24" s="4" t="s">
        <v>389</v>
      </c>
      <c r="B24" s="21" t="n">
        <f aca="false">B9</f>
        <v>3360</v>
      </c>
      <c r="C24" s="21" t="n">
        <f aca="false">B4</f>
        <v>2000</v>
      </c>
      <c r="D24" s="12" t="n">
        <f aca="false">1-(C24/B24)</f>
        <v>0.404761904761905</v>
      </c>
    </row>
    <row r="25" customFormat="false" ht="15" hidden="false" customHeight="false" outlineLevel="0" collapsed="false">
      <c r="A25" s="4" t="s">
        <v>390</v>
      </c>
      <c r="B25" s="21" t="n">
        <f aca="false">B10</f>
        <v>5880</v>
      </c>
      <c r="C25" s="21" t="n">
        <f aca="false">B4</f>
        <v>2000</v>
      </c>
      <c r="D25" s="12" t="n">
        <f aca="false">1-(C25/B25)</f>
        <v>0.659863945578231</v>
      </c>
    </row>
    <row r="26" customFormat="false" ht="15" hidden="false" customHeight="false" outlineLevel="0" collapsed="false">
      <c r="A26" s="4" t="s">
        <v>391</v>
      </c>
      <c r="B26" s="21" t="n">
        <f aca="false">B11</f>
        <v>6804</v>
      </c>
      <c r="C26" s="21" t="n">
        <f aca="false">B4</f>
        <v>2000</v>
      </c>
      <c r="D26" s="12" t="n">
        <f aca="false">1-(C26/B26)</f>
        <v>0.706055261610817</v>
      </c>
    </row>
    <row r="27" customFormat="false" ht="15" hidden="false" customHeight="false" outlineLevel="0" collapsed="false">
      <c r="A27" s="4" t="s">
        <v>392</v>
      </c>
      <c r="B27" s="21" t="n">
        <f aca="false">B12</f>
        <v>16800</v>
      </c>
      <c r="C27" s="21" t="n">
        <f aca="false">B4</f>
        <v>2000</v>
      </c>
      <c r="D27" s="12" t="n">
        <f aca="false">1-(C27/B27)</f>
        <v>0.880952380952381</v>
      </c>
    </row>
    <row r="28" customFormat="false" ht="15" hidden="false" customHeight="false" outlineLevel="0" collapsed="false">
      <c r="A28" s="4" t="s">
        <v>393</v>
      </c>
      <c r="B28" s="21" t="n">
        <f aca="false">B13</f>
        <v>8400</v>
      </c>
      <c r="C28" s="21" t="n">
        <f aca="false">B4</f>
        <v>2000</v>
      </c>
      <c r="D28" s="12" t="n">
        <f aca="false">1-(C28/B28)</f>
        <v>0.761904761904762</v>
      </c>
    </row>
    <row r="29" customFormat="false" ht="15" hidden="false" customHeight="false" outlineLevel="0" collapsed="false">
      <c r="A29" s="4" t="s">
        <v>394</v>
      </c>
      <c r="B29" s="21" t="n">
        <f aca="false">B14</f>
        <v>39900</v>
      </c>
      <c r="C29" s="21" t="n">
        <f aca="false">B4</f>
        <v>2000</v>
      </c>
      <c r="D29" s="12" t="n">
        <f aca="false">1-(C29/B29)</f>
        <v>0.949874686716792</v>
      </c>
    </row>
    <row r="32" customFormat="false" ht="15" hidden="false" customHeight="false" outlineLevel="0" collapsed="false">
      <c r="A32" s="2" t="s">
        <v>395</v>
      </c>
      <c r="B32" s="3"/>
      <c r="C32" s="3"/>
      <c r="D32" s="3"/>
    </row>
    <row r="33" customFormat="false" ht="15" hidden="false" customHeight="false" outlineLevel="0" collapsed="false">
      <c r="A33" s="4" t="s">
        <v>396</v>
      </c>
      <c r="B33" s="10" t="n">
        <f aca="false">B4*100</f>
        <v>200000</v>
      </c>
      <c r="C33" s="4"/>
      <c r="D33" s="4" t="s">
        <v>397</v>
      </c>
    </row>
    <row r="34" customFormat="false" ht="15" hidden="false" customHeight="false" outlineLevel="0" collapsed="false">
      <c r="A34" s="4" t="s">
        <v>398</v>
      </c>
      <c r="B34" s="10" t="n">
        <f aca="false">B9*100</f>
        <v>336000</v>
      </c>
      <c r="C34" s="4"/>
      <c r="D34" s="4" t="s">
        <v>399</v>
      </c>
    </row>
    <row r="35" customFormat="false" ht="15" hidden="false" customHeight="false" outlineLevel="0" collapsed="false">
      <c r="A35" s="4" t="s">
        <v>400</v>
      </c>
      <c r="B35" s="10" t="n">
        <f aca="false">B10*100</f>
        <v>588000</v>
      </c>
      <c r="C35" s="4"/>
      <c r="D35" s="4" t="s">
        <v>401</v>
      </c>
    </row>
    <row r="36" customFormat="false" ht="15" hidden="false" customHeight="false" outlineLevel="0" collapsed="false">
      <c r="A36" s="4" t="s">
        <v>402</v>
      </c>
      <c r="B36" s="10" t="n">
        <f aca="false">B11*100</f>
        <v>680400</v>
      </c>
      <c r="C36" s="4"/>
      <c r="D36" s="4" t="s">
        <v>403</v>
      </c>
    </row>
    <row r="37" customFormat="false" ht="15" hidden="false" customHeight="false" outlineLevel="0" collapsed="false">
      <c r="A37" s="4" t="s">
        <v>404</v>
      </c>
      <c r="B37" s="10" t="n">
        <f aca="false">B12*100</f>
        <v>1680000</v>
      </c>
      <c r="C37" s="4"/>
      <c r="D37" s="4" t="s">
        <v>405</v>
      </c>
    </row>
    <row r="38" customFormat="false" ht="15" hidden="false" customHeight="false" outlineLevel="0" collapsed="false">
      <c r="A38" s="4" t="s">
        <v>406</v>
      </c>
      <c r="B38" s="10" t="n">
        <f aca="false">B13*100</f>
        <v>840000</v>
      </c>
      <c r="C38" s="4"/>
      <c r="D38" s="4" t="s">
        <v>407</v>
      </c>
    </row>
    <row r="39" customFormat="false" ht="15" hidden="false" customHeight="false" outlineLevel="0" collapsed="false">
      <c r="A39" s="4" t="s">
        <v>408</v>
      </c>
      <c r="B39" s="10" t="n">
        <f aca="false">B14*100</f>
        <v>3990000</v>
      </c>
      <c r="C39" s="4"/>
      <c r="D39" s="4" t="s">
        <v>409</v>
      </c>
    </row>
    <row r="40" customFormat="false" ht="15" hidden="false" customHeight="false" outlineLevel="0" collapsed="false">
      <c r="A40" s="4"/>
      <c r="B40" s="10"/>
      <c r="C40" s="4"/>
      <c r="D40" s="4"/>
    </row>
    <row r="41" customFormat="false" ht="15" hidden="false" customHeight="false" outlineLevel="0" collapsed="false">
      <c r="A41" s="4" t="s">
        <v>410</v>
      </c>
      <c r="B41" s="11" t="n">
        <f aca="false">B34-B33</f>
        <v>136000</v>
      </c>
      <c r="C41" s="4"/>
      <c r="D41" s="4" t="s">
        <v>411</v>
      </c>
    </row>
    <row r="42" customFormat="false" ht="15" hidden="false" customHeight="false" outlineLevel="0" collapsed="false">
      <c r="A42" s="4" t="s">
        <v>412</v>
      </c>
      <c r="B42" s="11" t="n">
        <f aca="false">B35-B33</f>
        <v>388000</v>
      </c>
      <c r="C42" s="4"/>
      <c r="D42" s="4" t="s">
        <v>413</v>
      </c>
    </row>
    <row r="43" customFormat="false" ht="15" hidden="false" customHeight="false" outlineLevel="0" collapsed="false">
      <c r="A43" s="4" t="s">
        <v>414</v>
      </c>
      <c r="B43" s="11" t="n">
        <f aca="false">B36-B33</f>
        <v>480400</v>
      </c>
      <c r="C43" s="4"/>
      <c r="D43" s="4" t="s">
        <v>415</v>
      </c>
    </row>
    <row r="44" customFormat="false" ht="15" hidden="false" customHeight="false" outlineLevel="0" collapsed="false">
      <c r="A44" s="4" t="s">
        <v>416</v>
      </c>
      <c r="B44" s="11" t="n">
        <f aca="false">B37-B33</f>
        <v>1480000</v>
      </c>
      <c r="C44" s="4"/>
      <c r="D44" s="4" t="s">
        <v>417</v>
      </c>
    </row>
    <row r="45" customFormat="false" ht="15" hidden="false" customHeight="false" outlineLevel="0" collapsed="false">
      <c r="A45" s="4" t="s">
        <v>418</v>
      </c>
      <c r="B45" s="11" t="n">
        <f aca="false">B38-B33</f>
        <v>640000</v>
      </c>
      <c r="C45" s="4"/>
      <c r="D45" s="4" t="s">
        <v>419</v>
      </c>
    </row>
    <row r="46" customFormat="false" ht="15" hidden="false" customHeight="false" outlineLevel="0" collapsed="false">
      <c r="A46" s="4" t="s">
        <v>420</v>
      </c>
      <c r="B46" s="11" t="n">
        <f aca="false">B39-B33</f>
        <v>3790000</v>
      </c>
      <c r="C46" s="4"/>
      <c r="D46" s="4" t="s">
        <v>379</v>
      </c>
    </row>
    <row r="48" customFormat="false" ht="15" hidden="false" customHeight="false" outlineLevel="0" collapsed="false">
      <c r="A48" s="2" t="s">
        <v>421</v>
      </c>
      <c r="B48" s="3"/>
      <c r="C48" s="3"/>
      <c r="D48" s="3"/>
    </row>
    <row r="49" customFormat="false" ht="15" hidden="false" customHeight="false" outlineLevel="0" collapsed="false">
      <c r="A49" s="22" t="s">
        <v>422</v>
      </c>
      <c r="B49" s="22" t="s">
        <v>210</v>
      </c>
      <c r="C49" s="22"/>
      <c r="D49" s="22" t="s">
        <v>211</v>
      </c>
    </row>
    <row r="50" customFormat="false" ht="15" hidden="false" customHeight="false" outlineLevel="0" collapsed="false">
      <c r="A50" s="22" t="s">
        <v>423</v>
      </c>
      <c r="B50" s="22" t="s">
        <v>213</v>
      </c>
      <c r="C50" s="22"/>
      <c r="D50" s="22" t="s">
        <v>424</v>
      </c>
    </row>
    <row r="51" customFormat="false" ht="15" hidden="false" customHeight="false" outlineLevel="0" collapsed="false">
      <c r="A51" s="22" t="s">
        <v>425</v>
      </c>
      <c r="B51" s="22" t="s">
        <v>216</v>
      </c>
      <c r="C51" s="22"/>
      <c r="D51" s="22" t="s">
        <v>426</v>
      </c>
    </row>
    <row r="52" customFormat="false" ht="15" hidden="false" customHeight="false" outlineLevel="0" collapsed="false">
      <c r="A52" s="22"/>
      <c r="B52" s="22"/>
      <c r="C52" s="22"/>
      <c r="D52" s="22"/>
    </row>
    <row r="53" customFormat="false" ht="15" hidden="false" customHeight="false" outlineLevel="0" collapsed="false">
      <c r="A53" s="23" t="s">
        <v>427</v>
      </c>
      <c r="B53" s="22"/>
      <c r="C53" s="22"/>
      <c r="D53" s="22"/>
    </row>
    <row r="54" customFormat="false" ht="15" hidden="false" customHeight="false" outlineLevel="0" collapsed="false">
      <c r="A54" s="23" t="s">
        <v>428</v>
      </c>
      <c r="B54" s="22"/>
      <c r="C54" s="22"/>
      <c r="D54" s="22"/>
    </row>
    <row r="55" customFormat="false" ht="15" hidden="false" customHeight="false" outlineLevel="0" collapsed="false">
      <c r="A55" s="22"/>
      <c r="B55" s="22"/>
      <c r="C55" s="22"/>
      <c r="D55" s="22"/>
    </row>
    <row r="56" customFormat="false" ht="15" hidden="false" customHeight="false" outlineLevel="0" collapsed="false">
      <c r="A56" s="22" t="s">
        <v>429</v>
      </c>
      <c r="B56" s="22"/>
      <c r="C56" s="22"/>
      <c r="D56" s="22"/>
    </row>
    <row r="57" customFormat="false" ht="15" hidden="false" customHeight="false" outlineLevel="0" collapsed="false">
      <c r="A57" s="22" t="s">
        <v>430</v>
      </c>
      <c r="B57" s="22" t="s">
        <v>431</v>
      </c>
      <c r="C57" s="22" t="s">
        <v>432</v>
      </c>
      <c r="D57" s="22" t="s">
        <v>4</v>
      </c>
    </row>
    <row r="58" customFormat="false" ht="15" hidden="false" customHeight="false" outlineLevel="0" collapsed="false">
      <c r="A58" s="22" t="s">
        <v>433</v>
      </c>
      <c r="B58" s="22" t="s">
        <v>434</v>
      </c>
      <c r="C58" s="22" t="s">
        <v>434</v>
      </c>
      <c r="D58" s="22" t="s">
        <v>435</v>
      </c>
    </row>
    <row r="59" customFormat="false" ht="15" hidden="false" customHeight="false" outlineLevel="0" collapsed="false">
      <c r="A59" s="22" t="s">
        <v>436</v>
      </c>
      <c r="B59" s="22" t="s">
        <v>437</v>
      </c>
      <c r="C59" s="22" t="s">
        <v>213</v>
      </c>
      <c r="D59" s="22" t="s">
        <v>438</v>
      </c>
    </row>
    <row r="60" customFormat="false" ht="15" hidden="false" customHeight="false" outlineLevel="0" collapsed="false">
      <c r="A60" s="22" t="s">
        <v>439</v>
      </c>
      <c r="B60" s="22" t="s">
        <v>437</v>
      </c>
      <c r="C60" s="22" t="s">
        <v>15</v>
      </c>
      <c r="D60" s="22" t="s">
        <v>440</v>
      </c>
    </row>
    <row r="61" customFormat="false" ht="15" hidden="false" customHeight="false" outlineLevel="0" collapsed="false">
      <c r="A61" s="22" t="s">
        <v>441</v>
      </c>
      <c r="B61" s="22" t="s">
        <v>213</v>
      </c>
      <c r="C61" s="22"/>
      <c r="D61" s="22" t="s">
        <v>442</v>
      </c>
    </row>
    <row r="62" customFormat="false" ht="15" hidden="false" customHeight="false" outlineLevel="0" collapsed="false">
      <c r="A62" s="22" t="s">
        <v>443</v>
      </c>
      <c r="B62" s="22"/>
      <c r="C62" s="22" t="s">
        <v>444</v>
      </c>
      <c r="D62" s="22" t="s">
        <v>445</v>
      </c>
    </row>
    <row r="63" customFormat="false" ht="15" hidden="false" customHeight="false" outlineLevel="0" collapsed="false">
      <c r="A63" s="22"/>
      <c r="B63" s="22"/>
      <c r="C63" s="22"/>
      <c r="D63" s="22"/>
    </row>
    <row r="64" customFormat="false" ht="15" hidden="false" customHeight="false" outlineLevel="0" collapsed="false">
      <c r="A64" s="22" t="s">
        <v>446</v>
      </c>
      <c r="B64" s="22"/>
      <c r="C64" s="22"/>
      <c r="D64" s="22"/>
    </row>
    <row r="65" customFormat="false" ht="15" hidden="false" customHeight="false" outlineLevel="0" collapsed="false">
      <c r="A65" s="22" t="s">
        <v>225</v>
      </c>
      <c r="B65" s="22"/>
      <c r="C65" s="22"/>
      <c r="D65" s="22" t="s">
        <v>447</v>
      </c>
    </row>
    <row r="66" customFormat="false" ht="15" hidden="false" customHeight="false" outlineLevel="0" collapsed="false">
      <c r="A66" s="22" t="s">
        <v>448</v>
      </c>
      <c r="B66" s="22"/>
      <c r="C66" s="22"/>
      <c r="D66" s="22"/>
    </row>
    <row r="68" customFormat="false" ht="15" hidden="false" customHeight="false" outlineLevel="0" collapsed="false">
      <c r="A68" s="2" t="s">
        <v>230</v>
      </c>
      <c r="B68" s="3"/>
      <c r="C68" s="3"/>
      <c r="D68" s="3"/>
    </row>
    <row r="70" customFormat="false" ht="15" hidden="false" customHeight="false" outlineLevel="0" collapsed="false">
      <c r="A70" s="22" t="s">
        <v>449</v>
      </c>
      <c r="B70" s="22" t="s">
        <v>213</v>
      </c>
      <c r="C70" s="22"/>
      <c r="D70" s="22" t="s">
        <v>450</v>
      </c>
    </row>
    <row r="71" customFormat="false" ht="15" hidden="false" customHeight="false" outlineLevel="0" collapsed="false">
      <c r="A71" s="22"/>
      <c r="B71" s="22"/>
      <c r="C71" s="22"/>
      <c r="D71" s="22"/>
    </row>
    <row r="72" customFormat="false" ht="15" hidden="false" customHeight="false" outlineLevel="0" collapsed="false">
      <c r="A72" s="15" t="s">
        <v>451</v>
      </c>
      <c r="B72" s="22"/>
      <c r="C72" s="22"/>
      <c r="D72" s="22"/>
    </row>
    <row r="73" customFormat="false" ht="15" hidden="false" customHeight="false" outlineLevel="0" collapsed="false">
      <c r="A73" s="22" t="s">
        <v>452</v>
      </c>
      <c r="B73" s="22"/>
      <c r="C73" s="22" t="s">
        <v>243</v>
      </c>
      <c r="D73" s="22" t="s">
        <v>453</v>
      </c>
    </row>
    <row r="74" customFormat="false" ht="15" hidden="false" customHeight="false" outlineLevel="0" collapsed="false">
      <c r="A74" s="22" t="s">
        <v>454</v>
      </c>
      <c r="B74" s="22"/>
      <c r="C74" s="22" t="s">
        <v>243</v>
      </c>
      <c r="D74" s="22" t="s">
        <v>455</v>
      </c>
    </row>
    <row r="75" customFormat="false" ht="15" hidden="false" customHeight="false" outlineLevel="0" collapsed="false">
      <c r="A75" s="22" t="s">
        <v>456</v>
      </c>
      <c r="B75" s="22"/>
      <c r="C75" s="22" t="s">
        <v>261</v>
      </c>
      <c r="D75" s="22" t="s">
        <v>457</v>
      </c>
    </row>
    <row r="76" customFormat="false" ht="15" hidden="false" customHeight="false" outlineLevel="0" collapsed="false">
      <c r="A76" s="22" t="s">
        <v>458</v>
      </c>
      <c r="B76" s="22"/>
      <c r="C76" s="22" t="s">
        <v>264</v>
      </c>
      <c r="D76" s="22" t="s">
        <v>459</v>
      </c>
    </row>
    <row r="77" customFormat="false" ht="15" hidden="false" customHeight="false" outlineLevel="0" collapsed="false">
      <c r="A77" s="22" t="s">
        <v>460</v>
      </c>
      <c r="B77" s="22"/>
      <c r="C77" s="22" t="s">
        <v>461</v>
      </c>
      <c r="D77" s="22" t="s">
        <v>462</v>
      </c>
    </row>
    <row r="78" customFormat="false" ht="15" hidden="false" customHeight="false" outlineLevel="0" collapsed="false">
      <c r="A78" s="22" t="s">
        <v>463</v>
      </c>
      <c r="B78" s="22"/>
      <c r="C78" s="22" t="s">
        <v>464</v>
      </c>
      <c r="D78" s="22" t="s">
        <v>465</v>
      </c>
    </row>
    <row r="79" customFormat="false" ht="15" hidden="false" customHeight="false" outlineLevel="0" collapsed="false">
      <c r="A79" s="22"/>
      <c r="B79" s="22"/>
      <c r="C79" s="22"/>
      <c r="D79" s="22"/>
    </row>
    <row r="80" customFormat="false" ht="15" hidden="false" customHeight="false" outlineLevel="0" collapsed="false">
      <c r="A80" s="15" t="s">
        <v>466</v>
      </c>
      <c r="B80" s="22" t="s">
        <v>467</v>
      </c>
      <c r="C80" s="22" t="s">
        <v>468</v>
      </c>
      <c r="D80" s="22" t="s">
        <v>469</v>
      </c>
    </row>
    <row r="81" customFormat="false" ht="15" hidden="false" customHeight="false" outlineLevel="0" collapsed="false">
      <c r="A81" s="22" t="s">
        <v>470</v>
      </c>
      <c r="B81" s="24" t="n">
        <v>2000</v>
      </c>
      <c r="C81" s="24" t="n">
        <v>3000</v>
      </c>
      <c r="D81" s="25" t="n">
        <f aca="false">(C81-B81)/C81</f>
        <v>0.333333333333333</v>
      </c>
    </row>
    <row r="82" customFormat="false" ht="15" hidden="false" customHeight="false" outlineLevel="0" collapsed="false">
      <c r="A82" s="22" t="s">
        <v>471</v>
      </c>
      <c r="B82" s="24" t="n">
        <v>2000</v>
      </c>
      <c r="C82" s="24" t="n">
        <v>4000</v>
      </c>
      <c r="D82" s="25" t="n">
        <f aca="false">(C82-B82)/C82</f>
        <v>0.5</v>
      </c>
    </row>
    <row r="83" customFormat="false" ht="15" hidden="false" customHeight="false" outlineLevel="0" collapsed="false">
      <c r="A83" s="22" t="s">
        <v>472</v>
      </c>
      <c r="B83" s="24" t="n">
        <v>2000</v>
      </c>
      <c r="C83" s="24" t="n">
        <v>6000</v>
      </c>
      <c r="D83" s="25" t="n">
        <f aca="false">(C83-B83)/C83</f>
        <v>0.666666666666667</v>
      </c>
    </row>
    <row r="84" customFormat="false" ht="15" hidden="false" customHeight="false" outlineLevel="0" collapsed="false">
      <c r="A84" s="22" t="s">
        <v>473</v>
      </c>
      <c r="B84" s="24" t="n">
        <v>2000</v>
      </c>
      <c r="C84" s="24" t="n">
        <v>10000</v>
      </c>
      <c r="D84" s="25" t="n">
        <f aca="false">(C84-B84)/C84</f>
        <v>0.8</v>
      </c>
    </row>
    <row r="85" customFormat="false" ht="15" hidden="false" customHeight="false" outlineLevel="0" collapsed="false">
      <c r="A85" s="22" t="s">
        <v>474</v>
      </c>
      <c r="B85" s="24" t="n">
        <v>2000</v>
      </c>
      <c r="C85" s="24" t="n">
        <v>50000</v>
      </c>
      <c r="D85" s="25" t="n">
        <f aca="false">(C85-B85)/C85</f>
        <v>0.96</v>
      </c>
    </row>
    <row r="87" customFormat="false" ht="15" hidden="false" customHeight="false" outlineLevel="0" collapsed="false">
      <c r="A87" s="2" t="s">
        <v>475</v>
      </c>
      <c r="B87" s="3"/>
      <c r="C87" s="3"/>
      <c r="D87" s="3"/>
    </row>
    <row r="88" customFormat="false" ht="15" hidden="false" customHeight="false" outlineLevel="0" collapsed="false">
      <c r="A88" s="22" t="s">
        <v>476</v>
      </c>
      <c r="B88" s="22" t="s">
        <v>477</v>
      </c>
      <c r="C88" s="22"/>
      <c r="D88" s="22" t="s">
        <v>478</v>
      </c>
    </row>
    <row r="89" customFormat="false" ht="15" hidden="false" customHeight="false" outlineLevel="0" collapsed="false">
      <c r="A89" s="22" t="s">
        <v>479</v>
      </c>
      <c r="B89" s="22" t="s">
        <v>480</v>
      </c>
      <c r="C89" s="22" t="s">
        <v>481</v>
      </c>
      <c r="D89" s="22" t="s">
        <v>482</v>
      </c>
    </row>
    <row r="90" customFormat="false" ht="15" hidden="false" customHeight="false" outlineLevel="0" collapsed="false">
      <c r="A90" s="22" t="s">
        <v>483</v>
      </c>
      <c r="B90" s="22" t="s">
        <v>484</v>
      </c>
      <c r="C90" s="22" t="s">
        <v>485</v>
      </c>
      <c r="D90" s="22" t="s">
        <v>486</v>
      </c>
    </row>
    <row r="91" customFormat="false" ht="15" hidden="false" customHeight="false" outlineLevel="0" collapsed="false">
      <c r="A91" s="22" t="s">
        <v>487</v>
      </c>
      <c r="B91" s="22" t="s">
        <v>488</v>
      </c>
      <c r="C91" s="22" t="s">
        <v>489</v>
      </c>
      <c r="D91" s="22" t="s">
        <v>490</v>
      </c>
    </row>
    <row r="92" customFormat="false" ht="15" hidden="false" customHeight="false" outlineLevel="0" collapsed="false">
      <c r="A92" s="22" t="s">
        <v>491</v>
      </c>
      <c r="B92" s="22" t="s">
        <v>492</v>
      </c>
      <c r="C92" s="22" t="s">
        <v>493</v>
      </c>
      <c r="D92" s="22" t="s">
        <v>494</v>
      </c>
    </row>
    <row r="93" customFormat="false" ht="15" hidden="false" customHeight="false" outlineLevel="0" collapsed="false">
      <c r="A93" s="22"/>
      <c r="B93" s="22"/>
      <c r="C93" s="22"/>
      <c r="D93" s="22"/>
    </row>
    <row r="94" customFormat="false" ht="15" hidden="false" customHeight="false" outlineLevel="0" collapsed="false">
      <c r="A94" s="23" t="s">
        <v>495</v>
      </c>
      <c r="B94" s="22"/>
      <c r="C94" s="22"/>
      <c r="D94" s="22"/>
    </row>
    <row r="95" customFormat="false" ht="15" hidden="false" customHeight="false" outlineLevel="0" collapsed="false">
      <c r="A95" s="22" t="s">
        <v>496</v>
      </c>
      <c r="B95" s="22"/>
      <c r="C95" s="22"/>
      <c r="D95" s="22"/>
    </row>
    <row r="96" customFormat="false" ht="15" hidden="false" customHeight="false" outlineLevel="0" collapsed="false">
      <c r="A96" s="22" t="s">
        <v>497</v>
      </c>
      <c r="B96" s="22"/>
      <c r="C96" s="22"/>
      <c r="D96" s="22"/>
    </row>
    <row r="97" customFormat="false" ht="15" hidden="false" customHeight="false" outlineLevel="0" collapsed="false">
      <c r="A97" s="23" t="s">
        <v>498</v>
      </c>
      <c r="B97" s="22"/>
      <c r="C97" s="22"/>
      <c r="D97" s="22"/>
    </row>
    <row r="99" customFormat="false" ht="15" hidden="false" customHeight="false" outlineLevel="0" collapsed="false">
      <c r="A99" s="2" t="s">
        <v>280</v>
      </c>
      <c r="B99" s="3"/>
      <c r="C99" s="3"/>
      <c r="D99" s="3"/>
    </row>
    <row r="100" customFormat="false" ht="15" hidden="false" customHeight="false" outlineLevel="0" collapsed="false">
      <c r="A100" s="22" t="s">
        <v>281</v>
      </c>
      <c r="B100" s="22" t="s">
        <v>499</v>
      </c>
      <c r="C100" s="22"/>
      <c r="D100" s="22" t="s">
        <v>500</v>
      </c>
    </row>
    <row r="101" customFormat="false" ht="15" hidden="false" customHeight="false" outlineLevel="0" collapsed="false">
      <c r="A101" s="22" t="s">
        <v>501</v>
      </c>
      <c r="B101" s="22" t="s">
        <v>502</v>
      </c>
      <c r="C101" s="22"/>
      <c r="D101" s="22" t="s">
        <v>503</v>
      </c>
    </row>
    <row r="102" customFormat="false" ht="15" hidden="false" customHeight="false" outlineLevel="0" collapsed="false">
      <c r="A102" s="22" t="s">
        <v>287</v>
      </c>
      <c r="B102" s="22" t="s">
        <v>504</v>
      </c>
      <c r="C102" s="22"/>
      <c r="D102" s="22" t="s">
        <v>505</v>
      </c>
    </row>
    <row r="103" customFormat="false" ht="15" hidden="false" customHeight="false" outlineLevel="0" collapsed="false">
      <c r="A103" s="22" t="s">
        <v>290</v>
      </c>
      <c r="B103" s="22" t="s">
        <v>506</v>
      </c>
      <c r="C103" s="22"/>
      <c r="D103" s="22" t="s">
        <v>507</v>
      </c>
    </row>
    <row r="104" customFormat="false" ht="15" hidden="false" customHeight="false" outlineLevel="0" collapsed="false">
      <c r="A104" s="22" t="s">
        <v>293</v>
      </c>
      <c r="B104" s="22" t="s">
        <v>294</v>
      </c>
      <c r="C104" s="22"/>
      <c r="D104" s="22" t="s">
        <v>508</v>
      </c>
    </row>
    <row r="105" customFormat="false" ht="15" hidden="false" customHeight="false" outlineLevel="0" collapsed="false">
      <c r="A105" s="22" t="s">
        <v>509</v>
      </c>
      <c r="B105" s="22" t="s">
        <v>297</v>
      </c>
      <c r="C105" s="22"/>
      <c r="D105" s="22" t="s">
        <v>510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2026-02-14T03:27:59Z</dcterms:created>
  <dc:creator>openpyxl</dc:creator>
  <dc:description/>
  <dc:language>en-US</dc:language>
  <cp:lastModifiedBy/>
  <dcterms:modified xsi:type="dcterms:W3CDTF">2026-02-14T03:27:59Z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